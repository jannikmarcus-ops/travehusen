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8400" windowHeight="20000" tabRatio="600" firstSheet="0" activeTab="0" autoFilterDateGrouping="1"/>
  </bookViews>
  <sheets>
    <sheet name="Übersicht" sheetId="1" state="visible" r:id="rId1"/>
    <sheet name="Haus 3" sheetId="2" state="visible" r:id="rId2"/>
    <sheet name="Zusammenfassung" sheetId="3" state="visible" r:id="rId3"/>
  </sheets>
  <definedNames>
    <definedName name="_xlnm._FilterDatabase" localSheetId="0" hidden="1">'Übersicht'!$A$4:$M$52</definedName>
    <definedName name="_xlnm._FilterDatabase" localSheetId="1" hidden="1">'Haus 3'!$A$4:$L$38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\ \€"/>
    <numFmt numFmtId="165" formatCode="#,##0 &quot;€&quot;"/>
    <numFmt numFmtId="166" formatCode="#,##0 &quot;€/m²&quot;"/>
  </numFmts>
  <fonts count="10">
    <font>
      <name val="Calibri"/>
      <family val="2"/>
      <color theme="1"/>
      <sz val="11"/>
      <scheme val="minor"/>
    </font>
    <font>
      <name val="Arial"/>
      <b val="1"/>
      <color rgb="FF1A472A"/>
      <sz val="20"/>
    </font>
    <font>
      <name val="Arial"/>
      <color rgb="FF616161"/>
      <sz val="11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color rgb="FF212121"/>
      <sz val="9"/>
    </font>
    <font>
      <name val="Arial"/>
      <b val="1"/>
      <color rgb="FF1A472A"/>
      <sz val="16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B5E20"/>
      <sz val="9"/>
    </font>
  </fonts>
  <fills count="10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1B5E20"/>
      </patternFill>
    </fill>
    <fill>
      <patternFill patternType="solid">
        <fgColor rgb="FF3A7D44"/>
      </patternFill>
    </fill>
    <fill>
      <patternFill patternType="solid">
        <fgColor rgb="FFEEF5EE"/>
      </patternFill>
    </fill>
    <fill>
      <patternFill patternType="solid">
        <fgColor rgb="001B5E20"/>
      </patternFill>
    </fill>
    <fill>
      <patternFill patternType="solid">
        <fgColor rgb="003A7D44"/>
      </patternFill>
    </fill>
    <fill>
      <patternFill patternType="solid">
        <fgColor rgb="00FFFFFF"/>
      </patternFill>
    </fill>
    <fill>
      <patternFill patternType="solid">
        <fgColor rgb="00EEF5EE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B8963E"/>
      </bottom>
      <diagonal/>
    </border>
    <border>
      <left style="thin">
        <color rgb="FF145218"/>
      </left>
      <right style="thin">
        <color rgb="FF145218"/>
      </right>
      <top style="medium">
        <color rgb="FF1B5E20"/>
      </top>
      <bottom style="medium">
        <color rgb="FF1B5E20"/>
      </bottom>
      <diagonal/>
    </border>
    <border>
      <left style="hair">
        <color rgb="FFC8C8C8"/>
      </left>
      <right style="hair">
        <color rgb="FFC8C8C8"/>
      </right>
      <top style="hair">
        <color rgb="FFC8C8C8"/>
      </top>
      <bottom style="hair">
        <color rgb="FFC8C8C8"/>
      </bottom>
      <diagonal/>
    </border>
    <border>
      <left/>
      <right/>
      <top style="hair">
        <color rgb="FFC8C8C8"/>
      </top>
      <bottom/>
      <diagonal/>
    </border>
    <border>
      <left/>
      <right style="hair">
        <color rgb="FFC8C8C8"/>
      </right>
      <top style="hair">
        <color rgb="FFC8C8C8"/>
      </top>
      <bottom/>
      <diagonal/>
    </border>
    <border>
      <left/>
      <right/>
      <top style="hair">
        <color rgb="FFC8C8C8"/>
      </top>
      <bottom style="hair">
        <color rgb="FFC8C8C8"/>
      </bottom>
      <diagonal/>
    </border>
    <border>
      <left/>
      <right style="hair">
        <color rgb="FFC8C8C8"/>
      </right>
      <top style="hair">
        <color rgb="FFC8C8C8"/>
      </top>
      <bottom style="hair">
        <color rgb="FFC8C8C8"/>
      </bottom>
      <diagonal/>
    </border>
    <border>
      <left style="thin">
        <color rgb="00145218"/>
      </left>
      <right style="thin">
        <color rgb="00145218"/>
      </right>
      <top style="medium">
        <color rgb="001B5E20"/>
      </top>
      <bottom style="medium">
        <color rgb="001B5E20"/>
      </bottom>
    </border>
    <border>
      <left style="hair">
        <color rgb="00C8C8C8"/>
      </left>
      <right style="hair">
        <color rgb="00C8C8C8"/>
      </right>
      <top style="hair">
        <color rgb="00C8C8C8"/>
      </top>
      <bottom style="hair">
        <color rgb="00C8C8C8"/>
      </bottom>
    </border>
    <border/>
  </borders>
  <cellStyleXfs count="1">
    <xf numFmtId="0" fontId="0" fillId="0" borderId="1"/>
  </cellStyleXfs>
  <cellXfs count="29">
    <xf numFmtId="0" fontId="0" fillId="0" borderId="0" pivotButton="0" quotePrefix="0" xfId="0"/>
    <xf numFmtId="0" fontId="0" fillId="2" borderId="1" pivotButton="0" quotePrefix="0" xfId="0"/>
    <xf numFmtId="0" fontId="0" fillId="2" borderId="2" pivotButton="0" quotePrefix="0" xfId="0"/>
    <xf numFmtId="0" fontId="3" fillId="3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left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left" vertical="center" wrapText="1"/>
    </xf>
    <xf numFmtId="164" fontId="5" fillId="2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left" vertical="center" wrapText="1"/>
    </xf>
    <xf numFmtId="164" fontId="5" fillId="5" borderId="4" applyAlignment="1" pivotButton="0" quotePrefix="0" xfId="0">
      <alignment horizontal="center" vertical="center" wrapText="1"/>
    </xf>
    <xf numFmtId="4" fontId="5" fillId="2" borderId="4" applyAlignment="1" pivotButton="0" quotePrefix="0" xfId="0">
      <alignment horizontal="center" vertical="center" wrapText="1"/>
    </xf>
    <xf numFmtId="4" fontId="5" fillId="5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7" fillId="6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8" fillId="7" borderId="10" pivotButton="0" quotePrefix="0" xfId="0"/>
    <xf numFmtId="165" fontId="9" fillId="8" borderId="10" applyAlignment="1" pivotButton="0" quotePrefix="0" xfId="0">
      <alignment horizontal="right" vertical="center"/>
    </xf>
    <xf numFmtId="165" fontId="9" fillId="9" borderId="10" applyAlignment="1" pivotButton="0" quotePrefix="0" xfId="0">
      <alignment horizontal="right" vertical="center"/>
    </xf>
    <xf numFmtId="0" fontId="0" fillId="8" borderId="11" pivotButton="0" quotePrefix="0" xfId="0"/>
    <xf numFmtId="0" fontId="8" fillId="6" borderId="9" applyAlignment="1" pivotButton="0" quotePrefix="0" xfId="0">
      <alignment horizontal="center" vertical="center" wrapText="1"/>
    </xf>
    <xf numFmtId="166" fontId="9" fillId="8" borderId="10" applyAlignment="1" pivotButton="0" quotePrefix="0" xfId="0">
      <alignment horizontal="right" vertical="center"/>
    </xf>
    <xf numFmtId="166" fontId="9" fillId="9" borderId="10" applyAlignment="1" pivotButton="0" quotePrefix="0" xfId="0">
      <alignment horizontal="right" vertical="center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0</row>
      <rowOff>0</rowOff>
    </from>
    <ext cx="2057400" cy="3429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12534900" y="0"/>
          <a:ext cx="2057400" cy="342900"/>
        </a:xfrm>
        <a:prstGeom prst="rect">
          <avLst/>
        </a:prstGeom>
        <a:ln>
          <a:prstDash val="solid"/>
        </a:ln>
      </spPr>
    </pic>
    <clientData/>
  </oneCellAnchor>
  <oneCellAnchor>
    <from>
      <col>12</col>
      <colOff>0</colOff>
      <row>0</row>
      <rowOff>0</rowOff>
    </from>
    <ext cx="809625" cy="40005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476375" cy="28575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11</col>
      <colOff>0</colOff>
      <row>0</row>
      <rowOff>0</rowOff>
    </from>
    <ext cx="809625" cy="40005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333500" cy="2667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7</col>
      <colOff>0</colOff>
      <row>0</row>
      <rowOff>0</rowOff>
    </from>
    <ext cx="714375" cy="36195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FF1B5E20"/>
    <outlinePr summaryBelow="1" summaryRight="1"/>
    <pageSetUpPr fitToPage="1"/>
  </sheetPr>
  <dimension ref="A1:P52"/>
  <sheetViews>
    <sheetView showGridLines="0" tabSelected="1" workbookViewId="0">
      <pane ySplit="4" topLeftCell="A38" activePane="bottomLeft" state="frozen"/>
      <selection pane="bottomLeft" activeCell="R2" sqref="R2"/>
    </sheetView>
  </sheetViews>
  <sheetFormatPr baseColWidth="10" defaultColWidth="8.83203125" defaultRowHeight="15"/>
  <cols>
    <col width="5.5" customWidth="1" min="1" max="1"/>
    <col width="14" customWidth="1" min="2" max="2"/>
    <col width="16" customWidth="1" min="3" max="3"/>
    <col width="25" customWidth="1" min="4" max="4"/>
    <col width="8" customWidth="1" min="5" max="5"/>
    <col width="11" customWidth="1" min="6" max="6"/>
    <col width="15" customWidth="1" min="7" max="8"/>
    <col width="17" customWidth="1" min="9" max="9"/>
    <col width="38" customWidth="1" min="10" max="10"/>
    <col width="13" customWidth="1" min="11" max="11"/>
    <col width="17" customWidth="1" min="12" max="12"/>
    <col width="13" customWidth="1" min="13" max="13"/>
    <col width="19" customWidth="1" min="14" max="14"/>
    <col width="15" customWidth="1" min="15" max="15"/>
  </cols>
  <sheetData>
    <row r="1" ht="55" customHeight="1">
      <c r="A1" s="17" t="inlineStr">
        <is>
          <t>TRAVEHUSEN</t>
        </is>
      </c>
      <c r="J1" s="16" t="n"/>
      <c r="K1" s="16" t="n"/>
      <c r="L1" s="16" t="n"/>
      <c r="M1" s="16" t="n"/>
      <c r="P1" s="16" t="n"/>
    </row>
    <row r="2" ht="22" customHeight="1">
      <c r="A2" s="15" t="inlineStr">
        <is>
          <t>Preiskalkulation · Übersicht aller Einheiten</t>
        </is>
      </c>
      <c r="J2" s="16" t="n"/>
      <c r="K2" s="16" t="n"/>
      <c r="L2" s="16" t="n"/>
      <c r="M2" s="16" t="n"/>
      <c r="P2" s="16" t="n"/>
    </row>
    <row r="3" ht="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P3" s="2" t="n"/>
    </row>
    <row r="4" ht="38" customHeight="1">
      <c r="A4" s="3" t="inlineStr">
        <is>
          <t>Nr.</t>
        </is>
      </c>
      <c r="B4" s="3" t="inlineStr">
        <is>
          <t>Bezeichnung</t>
        </is>
      </c>
      <c r="C4" s="3" t="inlineStr">
        <is>
          <t>Gebäude / Baufeld</t>
        </is>
      </c>
      <c r="D4" s="3" t="inlineStr">
        <is>
          <t>Typ</t>
        </is>
      </c>
      <c r="E4" s="3" t="inlineStr">
        <is>
          <t>Zimmer</t>
        </is>
      </c>
      <c r="F4" s="3" t="inlineStr">
        <is>
          <t>Geschosse</t>
        </is>
      </c>
      <c r="G4" s="3" t="inlineStr">
        <is>
          <t>Wohnfläche (m²)</t>
        </is>
      </c>
      <c r="H4" s="3" t="inlineStr">
        <is>
          <t>Grundstück (m²)</t>
        </is>
      </c>
      <c r="I4" s="3" t="inlineStr">
        <is>
          <t>Terrasse/Balkon (m²)</t>
        </is>
      </c>
      <c r="J4" s="3" t="inlineStr">
        <is>
          <t>Besonderheiten</t>
        </is>
      </c>
      <c r="K4" s="3" t="inlineStr">
        <is>
          <t>Ausrichtung</t>
        </is>
      </c>
      <c r="L4" s="3" t="inlineStr">
        <is>
          <t>Verkaufspreis (€)</t>
        </is>
      </c>
      <c r="M4" s="3" t="inlineStr">
        <is>
          <t>Preis/m² (€)</t>
        </is>
      </c>
      <c r="N4" s="19" t="inlineStr">
        <is>
          <t>Preisindikation
Gemini KI (€)</t>
        </is>
      </c>
      <c r="O4" s="19" t="inlineStr">
        <is>
          <t>€/m² Gemini KI</t>
        </is>
      </c>
      <c r="P4" s="3" t="inlineStr">
        <is>
          <t>Bemerkungen</t>
        </is>
      </c>
    </row>
    <row r="5" ht="28" customHeight="1">
      <c r="A5" s="14" t="inlineStr">
        <is>
          <t>Baufeld 12.1 - Einzelhäuser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1" t="n"/>
      <c r="N5" s="22" t="n"/>
      <c r="O5" s="22" t="n"/>
      <c r="P5" s="14" t="n"/>
    </row>
    <row r="6" ht="22" customHeight="1">
      <c r="A6" s="5" t="inlineStr">
        <is>
          <t>1</t>
        </is>
      </c>
      <c r="B6" s="6" t="inlineStr">
        <is>
          <t>Hs. 12.1-01</t>
        </is>
      </c>
      <c r="C6" s="6" t="inlineStr">
        <is>
          <t>BF 12.1</t>
        </is>
      </c>
      <c r="D6" s="6" t="inlineStr">
        <is>
          <t>Einzelhaus</t>
        </is>
      </c>
      <c r="E6" s="5" t="inlineStr">
        <is>
          <t>-</t>
        </is>
      </c>
      <c r="F6" s="5" t="inlineStr">
        <is>
          <t>-</t>
        </is>
      </c>
      <c r="G6" s="5" t="n"/>
      <c r="H6" s="5" t="n">
        <v>448</v>
      </c>
      <c r="I6" s="5" t="n"/>
      <c r="J6" s="6" t="inlineStr">
        <is>
          <t>Keine Detailpläne vorliegend</t>
        </is>
      </c>
      <c r="K6" s="6" t="inlineStr">
        <is>
          <t>Süd</t>
        </is>
      </c>
      <c r="L6" s="7" t="n"/>
      <c r="M6" s="7">
        <f>IF(AND(L6&lt;&gt;"",G6&lt;&gt;""),L6/G6,"")</f>
        <v/>
      </c>
      <c r="N6" s="23" t="n">
        <v>394000</v>
      </c>
      <c r="O6" s="27">
        <f>IF(AND(N6&lt;&gt;"",H6&lt;&gt;""),N6/H6,"")</f>
        <v/>
      </c>
      <c r="P6" s="6" t="n"/>
    </row>
    <row r="7" ht="22" customHeight="1">
      <c r="A7" s="8" t="inlineStr">
        <is>
          <t>2</t>
        </is>
      </c>
      <c r="B7" s="9" t="inlineStr">
        <is>
          <t>Hs. 12.1-02</t>
        </is>
      </c>
      <c r="C7" s="9" t="inlineStr">
        <is>
          <t>BF 12.1</t>
        </is>
      </c>
      <c r="D7" s="9" t="inlineStr">
        <is>
          <t>Einzelhaus</t>
        </is>
      </c>
      <c r="E7" s="8" t="inlineStr">
        <is>
          <t>-</t>
        </is>
      </c>
      <c r="F7" s="8" t="inlineStr">
        <is>
          <t>-</t>
        </is>
      </c>
      <c r="G7" s="8" t="n"/>
      <c r="H7" s="8" t="n">
        <v>502</v>
      </c>
      <c r="I7" s="8" t="n"/>
      <c r="J7" s="9" t="inlineStr">
        <is>
          <t>inkl. Weg</t>
        </is>
      </c>
      <c r="K7" s="9" t="inlineStr">
        <is>
          <t>Süd</t>
        </is>
      </c>
      <c r="L7" s="10" t="n"/>
      <c r="M7" s="10">
        <f>IF(AND(L7&lt;&gt;"",G7&lt;&gt;""),L7/G7,"")</f>
        <v/>
      </c>
      <c r="N7" s="24" t="n">
        <v>427000</v>
      </c>
      <c r="O7" s="28">
        <f>IF(AND(N7&lt;&gt;"",H7&lt;&gt;""),N7/H7,"")</f>
        <v/>
      </c>
      <c r="P7" s="9" t="n"/>
    </row>
    <row r="8" ht="22" customHeight="1">
      <c r="A8" s="5" t="inlineStr">
        <is>
          <t>3</t>
        </is>
      </c>
      <c r="B8" s="6" t="inlineStr">
        <is>
          <t>Hs. 12.1-03</t>
        </is>
      </c>
      <c r="C8" s="6" t="inlineStr">
        <is>
          <t>BF 12.1</t>
        </is>
      </c>
      <c r="D8" s="6" t="inlineStr">
        <is>
          <t>Einzelhaus</t>
        </is>
      </c>
      <c r="E8" s="5" t="inlineStr">
        <is>
          <t>-</t>
        </is>
      </c>
      <c r="F8" s="5" t="inlineStr">
        <is>
          <t>-</t>
        </is>
      </c>
      <c r="G8" s="5" t="n"/>
      <c r="H8" s="5" t="n">
        <v>557</v>
      </c>
      <c r="I8" s="5" t="n"/>
      <c r="J8" s="6" t="inlineStr">
        <is>
          <t>inkl. Weg</t>
        </is>
      </c>
      <c r="K8" s="6" t="inlineStr">
        <is>
          <t>Süd</t>
        </is>
      </c>
      <c r="L8" s="7" t="n"/>
      <c r="M8" s="7">
        <f>IF(AND(L8&lt;&gt;"",G8&lt;&gt;""),L8/G8,"")</f>
        <v/>
      </c>
      <c r="N8" s="23" t="n">
        <v>473000</v>
      </c>
      <c r="O8" s="27">
        <f>IF(AND(N8&lt;&gt;"",H8&lt;&gt;""),N8/H8,"")</f>
        <v/>
      </c>
      <c r="P8" s="6" t="n"/>
    </row>
    <row r="9" ht="22" customHeight="1">
      <c r="A9" s="8" t="inlineStr">
        <is>
          <t>4</t>
        </is>
      </c>
      <c r="B9" s="9" t="inlineStr">
        <is>
          <t>Hs. 12.1-04</t>
        </is>
      </c>
      <c r="C9" s="9" t="inlineStr">
        <is>
          <t>BF 12.1</t>
        </is>
      </c>
      <c r="D9" s="9" t="inlineStr">
        <is>
          <t>Einzelhaus</t>
        </is>
      </c>
      <c r="E9" s="8" t="inlineStr">
        <is>
          <t>-</t>
        </is>
      </c>
      <c r="F9" s="8" t="inlineStr">
        <is>
          <t>-</t>
        </is>
      </c>
      <c r="G9" s="8" t="n"/>
      <c r="H9" s="8" t="n">
        <v>448</v>
      </c>
      <c r="I9" s="8" t="n"/>
      <c r="J9" s="9" t="n"/>
      <c r="K9" s="9" t="inlineStr">
        <is>
          <t>Süd</t>
        </is>
      </c>
      <c r="L9" s="10" t="n"/>
      <c r="M9" s="10">
        <f>IF(AND(L9&lt;&gt;"",G9&lt;&gt;""),L9/G9,"")</f>
        <v/>
      </c>
      <c r="N9" s="24" t="n">
        <v>394000</v>
      </c>
      <c r="O9" s="28">
        <f>IF(AND(N9&lt;&gt;"",H9&lt;&gt;""),N9/H9,"")</f>
        <v/>
      </c>
      <c r="P9" s="9" t="n"/>
    </row>
    <row r="10" ht="22" customHeight="1">
      <c r="A10" s="5" t="inlineStr">
        <is>
          <t>5</t>
        </is>
      </c>
      <c r="B10" s="6" t="inlineStr">
        <is>
          <t>Hs. 12.1-05</t>
        </is>
      </c>
      <c r="C10" s="6" t="inlineStr">
        <is>
          <t>BF 12.1</t>
        </is>
      </c>
      <c r="D10" s="6" t="inlineStr">
        <is>
          <t>Einzelhaus</t>
        </is>
      </c>
      <c r="E10" s="5" t="inlineStr">
        <is>
          <t>-</t>
        </is>
      </c>
      <c r="F10" s="5" t="inlineStr">
        <is>
          <t>-</t>
        </is>
      </c>
      <c r="G10" s="5" t="n"/>
      <c r="H10" s="5" t="n">
        <v>448</v>
      </c>
      <c r="I10" s="5" t="n"/>
      <c r="J10" s="6" t="n"/>
      <c r="K10" s="6" t="inlineStr">
        <is>
          <t>Süd</t>
        </is>
      </c>
      <c r="L10" s="7" t="n"/>
      <c r="M10" s="7">
        <f>IF(AND(L10&lt;&gt;"",G10&lt;&gt;""),L10/G10,"")</f>
        <v/>
      </c>
      <c r="N10" s="23" t="n">
        <v>394000</v>
      </c>
      <c r="O10" s="27">
        <f>IF(AND(N10&lt;&gt;"",H10&lt;&gt;""),N10/H10,"")</f>
        <v/>
      </c>
      <c r="P10" s="6" t="n"/>
    </row>
    <row r="11" ht="22" customHeight="1">
      <c r="A11" s="8" t="inlineStr">
        <is>
          <t>6</t>
        </is>
      </c>
      <c r="B11" s="9" t="inlineStr">
        <is>
          <t>Hs. 12.1-06</t>
        </is>
      </c>
      <c r="C11" s="9" t="inlineStr">
        <is>
          <t>BF 12.1</t>
        </is>
      </c>
      <c r="D11" s="9" t="inlineStr">
        <is>
          <t>Einzelhaus</t>
        </is>
      </c>
      <c r="E11" s="8" t="inlineStr">
        <is>
          <t>-</t>
        </is>
      </c>
      <c r="F11" s="8" t="inlineStr">
        <is>
          <t>-</t>
        </is>
      </c>
      <c r="G11" s="8" t="n"/>
      <c r="H11" s="8" t="n">
        <v>448</v>
      </c>
      <c r="I11" s="8" t="n"/>
      <c r="J11" s="9" t="n"/>
      <c r="K11" s="9" t="inlineStr">
        <is>
          <t>Süd</t>
        </is>
      </c>
      <c r="L11" s="10" t="n"/>
      <c r="M11" s="10">
        <f>IF(AND(L11&lt;&gt;"",G11&lt;&gt;""),L11/G11,"")</f>
        <v/>
      </c>
      <c r="N11" s="24" t="n">
        <v>394000</v>
      </c>
      <c r="O11" s="28">
        <f>IF(AND(N11&lt;&gt;"",H11&lt;&gt;""),N11/H11,"")</f>
        <v/>
      </c>
      <c r="P11" s="9" t="n"/>
    </row>
    <row r="12" ht="22" customHeight="1">
      <c r="A12" s="5" t="inlineStr">
        <is>
          <t>7</t>
        </is>
      </c>
      <c r="B12" s="6" t="inlineStr">
        <is>
          <t>Hs. 12.1-07</t>
        </is>
      </c>
      <c r="C12" s="6" t="inlineStr">
        <is>
          <t>BF 12.1</t>
        </is>
      </c>
      <c r="D12" s="6" t="inlineStr">
        <is>
          <t>Einzelhaus</t>
        </is>
      </c>
      <c r="E12" s="5" t="inlineStr">
        <is>
          <t>-</t>
        </is>
      </c>
      <c r="F12" s="5" t="inlineStr">
        <is>
          <t>-</t>
        </is>
      </c>
      <c r="G12" s="5" t="n"/>
      <c r="H12" s="5" t="n">
        <v>448</v>
      </c>
      <c r="I12" s="5" t="n"/>
      <c r="J12" s="6" t="n"/>
      <c r="K12" s="6" t="inlineStr">
        <is>
          <t>Süd</t>
        </is>
      </c>
      <c r="L12" s="7" t="n"/>
      <c r="M12" s="7">
        <f>IF(AND(L12&lt;&gt;"",G12&lt;&gt;""),L12/G12,"")</f>
        <v/>
      </c>
      <c r="N12" s="23" t="n">
        <v>394000</v>
      </c>
      <c r="O12" s="27">
        <f>IF(AND(N12&lt;&gt;"",H12&lt;&gt;""),N12/H12,"")</f>
        <v/>
      </c>
      <c r="P12" s="6" t="n"/>
    </row>
    <row r="13" ht="28" customHeight="1">
      <c r="A13" s="14" t="inlineStr">
        <is>
          <t>Baufeld 12.2 - Reihenhäuser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1" t="n"/>
      <c r="N13" s="22" t="n"/>
      <c r="O13" s="22" t="n"/>
      <c r="P13" s="14" t="n"/>
    </row>
    <row r="14" ht="22" customHeight="1">
      <c r="A14" s="5" t="inlineStr">
        <is>
          <t>1</t>
        </is>
      </c>
      <c r="B14" s="6" t="inlineStr">
        <is>
          <t>Hs. 12.2-01</t>
        </is>
      </c>
      <c r="C14" s="6" t="inlineStr">
        <is>
          <t>BF 12.2</t>
        </is>
      </c>
      <c r="D14" s="6" t="inlineStr">
        <is>
          <t>ERH mit Einlieger-WE</t>
        </is>
      </c>
      <c r="E14" s="5" t="inlineStr">
        <is>
          <t>3+2</t>
        </is>
      </c>
      <c r="F14" s="5" t="inlineStr">
        <is>
          <t>EG+OG+SG</t>
        </is>
      </c>
      <c r="G14" s="11" t="n">
        <v>128.67</v>
      </c>
      <c r="H14" s="5" t="n">
        <v>241</v>
      </c>
      <c r="I14" s="5" t="n">
        <v>11.25</v>
      </c>
      <c r="J14" s="6" t="inlineStr">
        <is>
          <t>Hauptwhg. 83,94 m² + Einlieger 44,73 m², Terrasse, Dachterrasse</t>
        </is>
      </c>
      <c r="K14" s="6" t="inlineStr">
        <is>
          <t>West</t>
        </is>
      </c>
      <c r="L14" s="7" t="n"/>
      <c r="M14" s="7">
        <f>IF(AND(L14&lt;&gt;"",G14&lt;&gt;""),L14/G14,"")</f>
        <v/>
      </c>
      <c r="N14" s="23" t="n">
        <v>559000</v>
      </c>
      <c r="O14" s="27">
        <f>IF(AND(N14&lt;&gt;"",G14&lt;&gt;""),N14/G14,"")</f>
        <v/>
      </c>
      <c r="P14" s="6" t="n"/>
    </row>
    <row r="15" ht="22" customHeight="1">
      <c r="A15" s="8" t="inlineStr">
        <is>
          <t>2</t>
        </is>
      </c>
      <c r="B15" s="9" t="inlineStr">
        <is>
          <t>Hs. 12.2-02</t>
        </is>
      </c>
      <c r="C15" s="9" t="inlineStr">
        <is>
          <t>BF 12.2</t>
        </is>
      </c>
      <c r="D15" s="9" t="inlineStr">
        <is>
          <t>MRH 6,00m</t>
        </is>
      </c>
      <c r="E15" s="8" t="inlineStr">
        <is>
          <t>4</t>
        </is>
      </c>
      <c r="F15" s="8" t="inlineStr">
        <is>
          <t>EG+OG</t>
        </is>
      </c>
      <c r="G15" s="12" t="n">
        <v>99.70999999999999</v>
      </c>
      <c r="H15" s="8" t="n">
        <v>174</v>
      </c>
      <c r="I15" s="8" t="n">
        <v>6</v>
      </c>
      <c r="J15" s="9" t="inlineStr">
        <is>
          <t>Terrasse, Garten</t>
        </is>
      </c>
      <c r="K15" s="9" t="inlineStr">
        <is>
          <t>West</t>
        </is>
      </c>
      <c r="L15" s="10" t="n"/>
      <c r="M15" s="10">
        <f>IF(AND(L15&lt;&gt;"",G15&lt;&gt;""),L15/G15,"")</f>
        <v/>
      </c>
      <c r="N15" s="24" t="n">
        <v>419000</v>
      </c>
      <c r="O15" s="28">
        <f>IF(AND(N15&lt;&gt;"",G15&lt;&gt;""),N15/G15,"")</f>
        <v/>
      </c>
      <c r="P15" s="9" t="n"/>
    </row>
    <row r="16" ht="22" customHeight="1">
      <c r="A16" s="5" t="inlineStr">
        <is>
          <t>3</t>
        </is>
      </c>
      <c r="B16" s="6" t="inlineStr">
        <is>
          <t>Hs. 12.2-03</t>
        </is>
      </c>
      <c r="C16" s="6" t="inlineStr">
        <is>
          <t>BF 12.2</t>
        </is>
      </c>
      <c r="D16" s="6" t="inlineStr">
        <is>
          <t>MRH 6,00m</t>
        </is>
      </c>
      <c r="E16" s="5" t="inlineStr">
        <is>
          <t>4</t>
        </is>
      </c>
      <c r="F16" s="5" t="inlineStr">
        <is>
          <t>EG+OG</t>
        </is>
      </c>
      <c r="G16" s="11" t="n">
        <v>99.70999999999999</v>
      </c>
      <c r="H16" s="5" t="n">
        <v>174</v>
      </c>
      <c r="I16" s="5" t="n">
        <v>6</v>
      </c>
      <c r="J16" s="6" t="inlineStr">
        <is>
          <t>Terrasse, Garten</t>
        </is>
      </c>
      <c r="K16" s="6" t="inlineStr">
        <is>
          <t>West</t>
        </is>
      </c>
      <c r="L16" s="7" t="n"/>
      <c r="M16" s="7">
        <f>IF(AND(L16&lt;&gt;"",G16&lt;&gt;""),L16/G16,"")</f>
        <v/>
      </c>
      <c r="N16" s="23" t="n">
        <v>419000</v>
      </c>
      <c r="O16" s="27">
        <f>IF(AND(N16&lt;&gt;"",G16&lt;&gt;""),N16/G16,"")</f>
        <v/>
      </c>
      <c r="P16" s="6" t="n"/>
    </row>
    <row r="17" ht="22" customHeight="1">
      <c r="A17" s="8" t="inlineStr">
        <is>
          <t>4</t>
        </is>
      </c>
      <c r="B17" s="9" t="inlineStr">
        <is>
          <t>Hs. 12.2-04</t>
        </is>
      </c>
      <c r="C17" s="9" t="inlineStr">
        <is>
          <t>BF 12.2</t>
        </is>
      </c>
      <c r="D17" s="9" t="inlineStr">
        <is>
          <t>ERH 5,00m</t>
        </is>
      </c>
      <c r="E17" s="8" t="inlineStr">
        <is>
          <t>4-5</t>
        </is>
      </c>
      <c r="F17" s="8" t="inlineStr">
        <is>
          <t>EG+OG+SG</t>
        </is>
      </c>
      <c r="G17" s="12" t="n">
        <v>134.4</v>
      </c>
      <c r="H17" s="8" t="n">
        <v>241</v>
      </c>
      <c r="I17" s="8" t="n">
        <v>11.47</v>
      </c>
      <c r="J17" s="9" t="inlineStr">
        <is>
          <t>Terrasse, Dachterrasse, Galerie, Garten</t>
        </is>
      </c>
      <c r="K17" s="9" t="inlineStr">
        <is>
          <t>West</t>
        </is>
      </c>
      <c r="L17" s="10" t="n"/>
      <c r="M17" s="10">
        <f>IF(AND(L17&lt;&gt;"",G17&lt;&gt;""),L17/G17,"")</f>
        <v/>
      </c>
      <c r="N17" s="24" t="n">
        <v>569000</v>
      </c>
      <c r="O17" s="28">
        <f>IF(AND(N17&lt;&gt;"",G17&lt;&gt;""),N17/G17,"")</f>
        <v/>
      </c>
      <c r="P17" s="9" t="n"/>
    </row>
    <row r="18" ht="22" customHeight="1">
      <c r="A18" s="5" t="inlineStr">
        <is>
          <t>5</t>
        </is>
      </c>
      <c r="B18" s="6" t="inlineStr">
        <is>
          <t>Hs. 12.2-05</t>
        </is>
      </c>
      <c r="C18" s="6" t="inlineStr">
        <is>
          <t>BF 12.2</t>
        </is>
      </c>
      <c r="D18" s="6" t="inlineStr">
        <is>
          <t>MRH 6,00m</t>
        </is>
      </c>
      <c r="E18" s="5" t="inlineStr">
        <is>
          <t>4</t>
        </is>
      </c>
      <c r="F18" s="5" t="inlineStr">
        <is>
          <t>EG+OG</t>
        </is>
      </c>
      <c r="G18" s="11" t="n">
        <v>99.70999999999999</v>
      </c>
      <c r="H18" s="5" t="n">
        <v>174</v>
      </c>
      <c r="I18" s="5" t="n">
        <v>6</v>
      </c>
      <c r="J18" s="6" t="inlineStr">
        <is>
          <t>Terrasse, Garten</t>
        </is>
      </c>
      <c r="K18" s="6" t="inlineStr">
        <is>
          <t>West</t>
        </is>
      </c>
      <c r="L18" s="7" t="n"/>
      <c r="M18" s="7">
        <f>IF(AND(L18&lt;&gt;"",G18&lt;&gt;""),L18/G18,"")</f>
        <v/>
      </c>
      <c r="N18" s="23" t="n">
        <v>419000</v>
      </c>
      <c r="O18" s="27">
        <f>IF(AND(N18&lt;&gt;"",G18&lt;&gt;""),N18/G18,"")</f>
        <v/>
      </c>
      <c r="P18" s="6" t="n"/>
    </row>
    <row r="19" ht="22" customHeight="1">
      <c r="A19" s="8" t="inlineStr">
        <is>
          <t>6</t>
        </is>
      </c>
      <c r="B19" s="9" t="inlineStr">
        <is>
          <t>Hs. 12.2-06</t>
        </is>
      </c>
      <c r="C19" s="9" t="inlineStr">
        <is>
          <t>BF 12.2</t>
        </is>
      </c>
      <c r="D19" s="9" t="inlineStr">
        <is>
          <t>MRH 6,00m</t>
        </is>
      </c>
      <c r="E19" s="8" t="inlineStr">
        <is>
          <t>4</t>
        </is>
      </c>
      <c r="F19" s="8" t="inlineStr">
        <is>
          <t>EG+OG</t>
        </is>
      </c>
      <c r="G19" s="12" t="n">
        <v>99.70999999999999</v>
      </c>
      <c r="H19" s="8" t="n">
        <v>174</v>
      </c>
      <c r="I19" s="8" t="n">
        <v>6</v>
      </c>
      <c r="J19" s="9" t="inlineStr">
        <is>
          <t>Terrasse, Garten</t>
        </is>
      </c>
      <c r="K19" s="9" t="inlineStr">
        <is>
          <t>West</t>
        </is>
      </c>
      <c r="L19" s="10" t="n"/>
      <c r="M19" s="10">
        <f>IF(AND(L19&lt;&gt;"",G19&lt;&gt;""),L19/G19,"")</f>
        <v/>
      </c>
      <c r="N19" s="24" t="n">
        <v>419000</v>
      </c>
      <c r="O19" s="28">
        <f>IF(AND(N19&lt;&gt;"",G19&lt;&gt;""),N19/G19,"")</f>
        <v/>
      </c>
      <c r="P19" s="9" t="n"/>
    </row>
    <row r="20" ht="22" customHeight="1">
      <c r="A20" s="5" t="inlineStr">
        <is>
          <t>7</t>
        </is>
      </c>
      <c r="B20" s="6" t="inlineStr">
        <is>
          <t>Hs. 12.2-07</t>
        </is>
      </c>
      <c r="C20" s="6" t="inlineStr">
        <is>
          <t>BF 12.2</t>
        </is>
      </c>
      <c r="D20" s="6" t="inlineStr">
        <is>
          <t>MRH 6,00m</t>
        </is>
      </c>
      <c r="E20" s="5" t="inlineStr">
        <is>
          <t>4</t>
        </is>
      </c>
      <c r="F20" s="5" t="inlineStr">
        <is>
          <t>EG+OG</t>
        </is>
      </c>
      <c r="G20" s="11" t="n">
        <v>99.70999999999999</v>
      </c>
      <c r="H20" s="5" t="n">
        <v>174</v>
      </c>
      <c r="I20" s="5" t="n">
        <v>6</v>
      </c>
      <c r="J20" s="6" t="inlineStr">
        <is>
          <t>Terrasse, Garten</t>
        </is>
      </c>
      <c r="K20" s="6" t="inlineStr">
        <is>
          <t>West</t>
        </is>
      </c>
      <c r="L20" s="7" t="n"/>
      <c r="M20" s="7">
        <f>IF(AND(L20&lt;&gt;"",G20&lt;&gt;""),L20/G20,"")</f>
        <v/>
      </c>
      <c r="N20" s="23" t="n">
        <v>419000</v>
      </c>
      <c r="O20" s="27">
        <f>IF(AND(N20&lt;&gt;"",G20&lt;&gt;""),N20/G20,"")</f>
        <v/>
      </c>
      <c r="P20" s="6" t="n"/>
    </row>
    <row r="21" ht="22" customHeight="1">
      <c r="A21" s="8" t="inlineStr">
        <is>
          <t>8</t>
        </is>
      </c>
      <c r="B21" s="9" t="inlineStr">
        <is>
          <t>Hs. 12.2-08</t>
        </is>
      </c>
      <c r="C21" s="9" t="inlineStr">
        <is>
          <t>BF 12.2</t>
        </is>
      </c>
      <c r="D21" s="9" t="inlineStr">
        <is>
          <t>MRH 6,00m</t>
        </is>
      </c>
      <c r="E21" s="8" t="inlineStr">
        <is>
          <t>4</t>
        </is>
      </c>
      <c r="F21" s="8" t="inlineStr">
        <is>
          <t>EG+OG</t>
        </is>
      </c>
      <c r="G21" s="12" t="n">
        <v>99.70999999999999</v>
      </c>
      <c r="H21" s="8" t="n">
        <v>174</v>
      </c>
      <c r="I21" s="8" t="n">
        <v>6</v>
      </c>
      <c r="J21" s="9" t="inlineStr">
        <is>
          <t>Terrasse, Garten</t>
        </is>
      </c>
      <c r="K21" s="9" t="inlineStr">
        <is>
          <t>West</t>
        </is>
      </c>
      <c r="L21" s="10" t="n"/>
      <c r="M21" s="10">
        <f>IF(AND(L21&lt;&gt;"",G21&lt;&gt;""),L21/G21,"")</f>
        <v/>
      </c>
      <c r="N21" s="24" t="n">
        <v>419000</v>
      </c>
      <c r="O21" s="28">
        <f>IF(AND(N21&lt;&gt;"",G21&lt;&gt;""),N21/G21,"")</f>
        <v/>
      </c>
      <c r="P21" s="9" t="n"/>
    </row>
    <row r="22" ht="22" customHeight="1">
      <c r="A22" s="5" t="inlineStr">
        <is>
          <t>9</t>
        </is>
      </c>
      <c r="B22" s="6" t="inlineStr">
        <is>
          <t>Hs. 12.2-09</t>
        </is>
      </c>
      <c r="C22" s="6" t="inlineStr">
        <is>
          <t>BF 12.2</t>
        </is>
      </c>
      <c r="D22" s="6" t="inlineStr">
        <is>
          <t>ERH 5,00m</t>
        </is>
      </c>
      <c r="E22" s="5" t="inlineStr">
        <is>
          <t>4-5</t>
        </is>
      </c>
      <c r="F22" s="5" t="inlineStr">
        <is>
          <t>EG+OG+SG</t>
        </is>
      </c>
      <c r="G22" s="11" t="n">
        <v>134.4</v>
      </c>
      <c r="H22" s="5" t="n">
        <v>241</v>
      </c>
      <c r="I22" s="5" t="n">
        <v>11.47</v>
      </c>
      <c r="J22" s="6" t="inlineStr">
        <is>
          <t>Terrasse, Dachterrasse, Galerie, Garten</t>
        </is>
      </c>
      <c r="K22" s="6" t="inlineStr">
        <is>
          <t>West</t>
        </is>
      </c>
      <c r="L22" s="7" t="n"/>
      <c r="M22" s="7">
        <f>IF(AND(L22&lt;&gt;"",G22&lt;&gt;""),L22/G22,"")</f>
        <v/>
      </c>
      <c r="N22" s="23" t="n">
        <v>569000</v>
      </c>
      <c r="O22" s="27">
        <f>IF(AND(N22&lt;&gt;"",G22&lt;&gt;""),N22/G22,"")</f>
        <v/>
      </c>
      <c r="P22" s="6" t="n"/>
    </row>
    <row r="23" ht="22" customHeight="1">
      <c r="A23" s="8" t="inlineStr">
        <is>
          <t>10</t>
        </is>
      </c>
      <c r="B23" s="9" t="inlineStr">
        <is>
          <t>Hs. 12.2-10</t>
        </is>
      </c>
      <c r="C23" s="9" t="inlineStr">
        <is>
          <t>BF 12.2</t>
        </is>
      </c>
      <c r="D23" s="9" t="inlineStr">
        <is>
          <t>MRH 6,00m</t>
        </is>
      </c>
      <c r="E23" s="8" t="inlineStr">
        <is>
          <t>4</t>
        </is>
      </c>
      <c r="F23" s="8" t="inlineStr">
        <is>
          <t>EG+OG</t>
        </is>
      </c>
      <c r="G23" s="12" t="n">
        <v>99.70999999999999</v>
      </c>
      <c r="H23" s="8" t="n">
        <v>174</v>
      </c>
      <c r="I23" s="8" t="n">
        <v>6</v>
      </c>
      <c r="J23" s="9" t="inlineStr">
        <is>
          <t>Terrasse, Garten</t>
        </is>
      </c>
      <c r="K23" s="9" t="inlineStr">
        <is>
          <t>West</t>
        </is>
      </c>
      <c r="L23" s="10" t="n"/>
      <c r="M23" s="10">
        <f>IF(AND(L23&lt;&gt;"",G23&lt;&gt;""),L23/G23,"")</f>
        <v/>
      </c>
      <c r="N23" s="24" t="n">
        <v>419000</v>
      </c>
      <c r="O23" s="28">
        <f>IF(AND(N23&lt;&gt;"",G23&lt;&gt;""),N23/G23,"")</f>
        <v/>
      </c>
      <c r="P23" s="9" t="n"/>
    </row>
    <row r="24" ht="22" customHeight="1">
      <c r="A24" s="5" t="inlineStr">
        <is>
          <t>11</t>
        </is>
      </c>
      <c r="B24" s="6" t="inlineStr">
        <is>
          <t>Hs. 12.2-11</t>
        </is>
      </c>
      <c r="C24" s="6" t="inlineStr">
        <is>
          <t>BF 12.2</t>
        </is>
      </c>
      <c r="D24" s="6" t="inlineStr">
        <is>
          <t>MRH 6,00m</t>
        </is>
      </c>
      <c r="E24" s="5" t="inlineStr">
        <is>
          <t>4</t>
        </is>
      </c>
      <c r="F24" s="5" t="inlineStr">
        <is>
          <t>EG+OG</t>
        </is>
      </c>
      <c r="G24" s="11" t="n">
        <v>99.70999999999999</v>
      </c>
      <c r="H24" s="5" t="n">
        <v>174</v>
      </c>
      <c r="I24" s="5" t="n">
        <v>6</v>
      </c>
      <c r="J24" s="6" t="inlineStr">
        <is>
          <t>Terrasse, Garten</t>
        </is>
      </c>
      <c r="K24" s="6" t="inlineStr">
        <is>
          <t>West</t>
        </is>
      </c>
      <c r="L24" s="7" t="n"/>
      <c r="M24" s="7">
        <f>IF(AND(L24&lt;&gt;"",G24&lt;&gt;""),L24/G24,"")</f>
        <v/>
      </c>
      <c r="N24" s="23" t="n">
        <v>419000</v>
      </c>
      <c r="O24" s="27">
        <f>IF(AND(N24&lt;&gt;"",G24&lt;&gt;""),N24/G24,"")</f>
        <v/>
      </c>
      <c r="P24" s="6" t="n"/>
    </row>
    <row r="25" ht="22" customHeight="1">
      <c r="A25" s="8" t="inlineStr">
        <is>
          <t>12</t>
        </is>
      </c>
      <c r="B25" s="9" t="inlineStr">
        <is>
          <t>Hs. 12.2-12</t>
        </is>
      </c>
      <c r="C25" s="9" t="inlineStr">
        <is>
          <t>BF 12.2</t>
        </is>
      </c>
      <c r="D25" s="9" t="inlineStr">
        <is>
          <t>ERH 5,00m</t>
        </is>
      </c>
      <c r="E25" s="8" t="inlineStr">
        <is>
          <t>4-5</t>
        </is>
      </c>
      <c r="F25" s="8" t="inlineStr">
        <is>
          <t>EG+OG+SG</t>
        </is>
      </c>
      <c r="G25" s="12" t="n">
        <v>134.4</v>
      </c>
      <c r="H25" s="8" t="n">
        <v>241</v>
      </c>
      <c r="I25" s="8" t="n">
        <v>11.47</v>
      </c>
      <c r="J25" s="9" t="inlineStr">
        <is>
          <t>Terrasse, Dachterrasse, Galerie, Garten</t>
        </is>
      </c>
      <c r="K25" s="9" t="inlineStr">
        <is>
          <t>West</t>
        </is>
      </c>
      <c r="L25" s="10" t="n"/>
      <c r="M25" s="10">
        <f>IF(AND(L25&lt;&gt;"",G25&lt;&gt;""),L25/G25,"")</f>
        <v/>
      </c>
      <c r="N25" s="24" t="n">
        <v>569000</v>
      </c>
      <c r="O25" s="28">
        <f>IF(AND(N25&lt;&gt;"",G25&lt;&gt;""),N25/G25,"")</f>
        <v/>
      </c>
      <c r="P25" s="9" t="n"/>
    </row>
    <row r="26" ht="28" customHeight="1">
      <c r="A26" s="14" t="inlineStr">
        <is>
          <t>Baufeld 12.3 - Doppelhaushälften</t>
        </is>
      </c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1" t="n"/>
      <c r="N26" s="22" t="n"/>
      <c r="O26" s="22" t="n"/>
      <c r="P26" s="14" t="n"/>
    </row>
    <row r="27" ht="22" customHeight="1">
      <c r="A27" s="5" t="inlineStr">
        <is>
          <t>1</t>
        </is>
      </c>
      <c r="B27" s="6" t="inlineStr">
        <is>
          <t>Hs. 12.3-01</t>
        </is>
      </c>
      <c r="C27" s="6" t="inlineStr">
        <is>
          <t>BF 12.3</t>
        </is>
      </c>
      <c r="D27" s="6" t="inlineStr">
        <is>
          <t>DHH Variante 1</t>
        </is>
      </c>
      <c r="E27" s="5" t="inlineStr">
        <is>
          <t>4-5</t>
        </is>
      </c>
      <c r="F27" s="5" t="inlineStr">
        <is>
          <t>EG+OG+SB</t>
        </is>
      </c>
      <c r="G27" s="11" t="n">
        <v>111.49</v>
      </c>
      <c r="H27" s="5" t="n">
        <v>275</v>
      </c>
      <c r="I27" s="5" t="n">
        <v>7.5</v>
      </c>
      <c r="J27" s="6" t="inlineStr">
        <is>
          <t>Terrasse, Spitzboden, Garten, Stellplatz</t>
        </is>
      </c>
      <c r="K27" s="6" t="inlineStr">
        <is>
          <t>Ost</t>
        </is>
      </c>
      <c r="L27" s="7" t="n"/>
      <c r="M27" s="7">
        <f>IF(AND(L27&lt;&gt;"",G27&lt;&gt;""),L27/G27,"")</f>
        <v/>
      </c>
      <c r="N27" s="23" t="n">
        <v>489000</v>
      </c>
      <c r="O27" s="27">
        <f>IF(AND(N27&lt;&gt;"",G27&lt;&gt;""),N27/G27,"")</f>
        <v/>
      </c>
      <c r="P27" s="6" t="n"/>
    </row>
    <row r="28" ht="22" customHeight="1">
      <c r="A28" s="8" t="inlineStr">
        <is>
          <t>2</t>
        </is>
      </c>
      <c r="B28" s="9" t="inlineStr">
        <is>
          <t>Hs. 12.3-02</t>
        </is>
      </c>
      <c r="C28" s="9" t="inlineStr">
        <is>
          <t>BF 12.3</t>
        </is>
      </c>
      <c r="D28" s="9" t="inlineStr">
        <is>
          <t>DHH Variante 1</t>
        </is>
      </c>
      <c r="E28" s="8" t="inlineStr">
        <is>
          <t>4-5</t>
        </is>
      </c>
      <c r="F28" s="8" t="inlineStr">
        <is>
          <t>EG+OG+SB</t>
        </is>
      </c>
      <c r="G28" s="12" t="n">
        <v>111.49</v>
      </c>
      <c r="H28" s="8" t="n">
        <v>268</v>
      </c>
      <c r="I28" s="8" t="n">
        <v>7.5</v>
      </c>
      <c r="J28" s="9" t="inlineStr">
        <is>
          <t>Terrasse, Spitzboden, Garten, Stellplatz</t>
        </is>
      </c>
      <c r="K28" s="9" t="inlineStr">
        <is>
          <t>Ost</t>
        </is>
      </c>
      <c r="L28" s="10" t="n"/>
      <c r="M28" s="10">
        <f>IF(AND(L28&lt;&gt;"",G28&lt;&gt;""),L28/G28,"")</f>
        <v/>
      </c>
      <c r="N28" s="24" t="n">
        <v>489000</v>
      </c>
      <c r="O28" s="28">
        <f>IF(AND(N28&lt;&gt;"",G28&lt;&gt;""),N28/G28,"")</f>
        <v/>
      </c>
      <c r="P28" s="9" t="n"/>
    </row>
    <row r="29" ht="22" customHeight="1">
      <c r="A29" s="5" t="inlineStr">
        <is>
          <t>3</t>
        </is>
      </c>
      <c r="B29" s="6" t="inlineStr">
        <is>
          <t>Hs. 12.3-03</t>
        </is>
      </c>
      <c r="C29" s="6" t="inlineStr">
        <is>
          <t>BF 12.3</t>
        </is>
      </c>
      <c r="D29" s="6" t="inlineStr">
        <is>
          <t>DHH Variante 2</t>
        </is>
      </c>
      <c r="E29" s="5" t="inlineStr">
        <is>
          <t>4-5</t>
        </is>
      </c>
      <c r="F29" s="5" t="inlineStr">
        <is>
          <t>EG+OG+SB</t>
        </is>
      </c>
      <c r="G29" s="11" t="n">
        <v>111.49</v>
      </c>
      <c r="H29" s="5" t="n">
        <v>268</v>
      </c>
      <c r="I29" s="5" t="n">
        <v>7.5</v>
      </c>
      <c r="J29" s="6" t="inlineStr">
        <is>
          <t>Terrasse, Spitzboden, Garten</t>
        </is>
      </c>
      <c r="K29" s="6" t="inlineStr">
        <is>
          <t>Ost</t>
        </is>
      </c>
      <c r="L29" s="7" t="n"/>
      <c r="M29" s="7">
        <f>IF(AND(L29&lt;&gt;"",G29&lt;&gt;""),L29/G29,"")</f>
        <v/>
      </c>
      <c r="N29" s="23" t="n">
        <v>465000</v>
      </c>
      <c r="O29" s="27">
        <f>IF(AND(N29&lt;&gt;"",G29&lt;&gt;""),N29/G29,"")</f>
        <v/>
      </c>
      <c r="P29" s="6" t="n"/>
    </row>
    <row r="30" ht="22" customHeight="1">
      <c r="A30" s="8" t="inlineStr">
        <is>
          <t>4</t>
        </is>
      </c>
      <c r="B30" s="9" t="inlineStr">
        <is>
          <t>Hs. 12.3-04</t>
        </is>
      </c>
      <c r="C30" s="9" t="inlineStr">
        <is>
          <t>BF 12.3</t>
        </is>
      </c>
      <c r="D30" s="9" t="inlineStr">
        <is>
          <t>DHH Variante 2</t>
        </is>
      </c>
      <c r="E30" s="8" t="inlineStr">
        <is>
          <t>4-5</t>
        </is>
      </c>
      <c r="F30" s="8" t="inlineStr">
        <is>
          <t>EG+OG+SB</t>
        </is>
      </c>
      <c r="G30" s="12" t="n">
        <v>111.49</v>
      </c>
      <c r="H30" s="8" t="n">
        <v>268</v>
      </c>
      <c r="I30" s="8" t="n">
        <v>7.5</v>
      </c>
      <c r="J30" s="9" t="inlineStr">
        <is>
          <t>Terrasse, Spitzboden, Garten</t>
        </is>
      </c>
      <c r="K30" s="9" t="inlineStr">
        <is>
          <t>Ost</t>
        </is>
      </c>
      <c r="L30" s="10" t="n"/>
      <c r="M30" s="10">
        <f>IF(AND(L30&lt;&gt;"",G30&lt;&gt;""),L30/G30,"")</f>
        <v/>
      </c>
      <c r="N30" s="24" t="n">
        <v>465000</v>
      </c>
      <c r="O30" s="28">
        <f>IF(AND(N30&lt;&gt;"",G30&lt;&gt;""),N30/G30,"")</f>
        <v/>
      </c>
      <c r="P30" s="9" t="n"/>
    </row>
    <row r="31" ht="22" customHeight="1">
      <c r="A31" s="5" t="inlineStr">
        <is>
          <t>5</t>
        </is>
      </c>
      <c r="B31" s="6" t="inlineStr">
        <is>
          <t>Hs. 12.3-05</t>
        </is>
      </c>
      <c r="C31" s="6" t="inlineStr">
        <is>
          <t>BF 12.3</t>
        </is>
      </c>
      <c r="D31" s="6" t="inlineStr">
        <is>
          <t>DHH Variante 2</t>
        </is>
      </c>
      <c r="E31" s="5" t="inlineStr">
        <is>
          <t>4-5</t>
        </is>
      </c>
      <c r="F31" s="5" t="inlineStr">
        <is>
          <t>EG+OG+SB</t>
        </is>
      </c>
      <c r="G31" s="11" t="n">
        <v>111.49</v>
      </c>
      <c r="H31" s="5" t="n">
        <v>268</v>
      </c>
      <c r="I31" s="5" t="n">
        <v>7.5</v>
      </c>
      <c r="J31" s="6" t="inlineStr">
        <is>
          <t>Terrasse, Spitzboden, Garten</t>
        </is>
      </c>
      <c r="K31" s="6" t="inlineStr">
        <is>
          <t>Ost</t>
        </is>
      </c>
      <c r="L31" s="7" t="n"/>
      <c r="M31" s="7">
        <f>IF(AND(L31&lt;&gt;"",G31&lt;&gt;""),L31/G31,"")</f>
        <v/>
      </c>
      <c r="N31" s="23" t="n">
        <v>465000</v>
      </c>
      <c r="O31" s="27">
        <f>IF(AND(N31&lt;&gt;"",G31&lt;&gt;""),N31/G31,"")</f>
        <v/>
      </c>
      <c r="P31" s="6" t="n"/>
    </row>
    <row r="32" ht="22" customHeight="1">
      <c r="A32" s="8" t="inlineStr">
        <is>
          <t>6</t>
        </is>
      </c>
      <c r="B32" s="9" t="inlineStr">
        <is>
          <t>Hs. 12.3-06</t>
        </is>
      </c>
      <c r="C32" s="9" t="inlineStr">
        <is>
          <t>BF 12.3</t>
        </is>
      </c>
      <c r="D32" s="9" t="inlineStr">
        <is>
          <t>DHH Variante 2</t>
        </is>
      </c>
      <c r="E32" s="8" t="inlineStr">
        <is>
          <t>4-5</t>
        </is>
      </c>
      <c r="F32" s="8" t="inlineStr">
        <is>
          <t>EG+OG+SB</t>
        </is>
      </c>
      <c r="G32" s="12" t="n">
        <v>111.49</v>
      </c>
      <c r="H32" s="8" t="n">
        <v>268</v>
      </c>
      <c r="I32" s="8" t="n">
        <v>7.5</v>
      </c>
      <c r="J32" s="9" t="inlineStr">
        <is>
          <t>Terrasse, Spitzboden, Garten</t>
        </is>
      </c>
      <c r="K32" s="9" t="inlineStr">
        <is>
          <t>Ost</t>
        </is>
      </c>
      <c r="L32" s="10" t="n"/>
      <c r="M32" s="10">
        <f>IF(AND(L32&lt;&gt;"",G32&lt;&gt;""),L32/G32,"")</f>
        <v/>
      </c>
      <c r="N32" s="24" t="n">
        <v>465000</v>
      </c>
      <c r="O32" s="28">
        <f>IF(AND(N32&lt;&gt;"",G32&lt;&gt;""),N32/G32,"")</f>
        <v/>
      </c>
      <c r="P32" s="9" t="n"/>
    </row>
    <row r="33" ht="22" customHeight="1">
      <c r="A33" s="5" t="inlineStr">
        <is>
          <t>7</t>
        </is>
      </c>
      <c r="B33" s="6" t="inlineStr">
        <is>
          <t>Hs. 12.3-07</t>
        </is>
      </c>
      <c r="C33" s="6" t="inlineStr">
        <is>
          <t>BF 12.3</t>
        </is>
      </c>
      <c r="D33" s="6" t="inlineStr">
        <is>
          <t>DHH Variante 2</t>
        </is>
      </c>
      <c r="E33" s="5" t="inlineStr">
        <is>
          <t>4-5</t>
        </is>
      </c>
      <c r="F33" s="5" t="inlineStr">
        <is>
          <t>EG+OG+SB</t>
        </is>
      </c>
      <c r="G33" s="11" t="n">
        <v>111.49</v>
      </c>
      <c r="H33" s="5" t="n">
        <v>268</v>
      </c>
      <c r="I33" s="5" t="n">
        <v>7.5</v>
      </c>
      <c r="J33" s="6" t="inlineStr">
        <is>
          <t>Terrasse, Spitzboden, Garten</t>
        </is>
      </c>
      <c r="K33" s="6" t="inlineStr">
        <is>
          <t>Ost</t>
        </is>
      </c>
      <c r="L33" s="7" t="n"/>
      <c r="M33" s="7">
        <f>IF(AND(L33&lt;&gt;"",G33&lt;&gt;""),L33/G33,"")</f>
        <v/>
      </c>
      <c r="N33" s="23" t="n">
        <v>465000</v>
      </c>
      <c r="O33" s="27">
        <f>IF(AND(N33&lt;&gt;"",G33&lt;&gt;""),N33/G33,"")</f>
        <v/>
      </c>
      <c r="P33" s="6" t="n"/>
    </row>
    <row r="34" ht="22" customHeight="1">
      <c r="A34" s="8" t="inlineStr">
        <is>
          <t>8</t>
        </is>
      </c>
      <c r="B34" s="9" t="inlineStr">
        <is>
          <t>Hs. 12.3-08</t>
        </is>
      </c>
      <c r="C34" s="9" t="inlineStr">
        <is>
          <t>BF 12.3</t>
        </is>
      </c>
      <c r="D34" s="9" t="inlineStr">
        <is>
          <t>DHH Variante 2</t>
        </is>
      </c>
      <c r="E34" s="8" t="inlineStr">
        <is>
          <t>4-5</t>
        </is>
      </c>
      <c r="F34" s="8" t="inlineStr">
        <is>
          <t>EG+OG+SB</t>
        </is>
      </c>
      <c r="G34" s="12" t="n">
        <v>111.49</v>
      </c>
      <c r="H34" s="8" t="n">
        <v>268</v>
      </c>
      <c r="I34" s="8" t="n">
        <v>7.5</v>
      </c>
      <c r="J34" s="9" t="inlineStr">
        <is>
          <t>Terrasse, Spitzboden, Garten</t>
        </is>
      </c>
      <c r="K34" s="9" t="inlineStr">
        <is>
          <t>Ost</t>
        </is>
      </c>
      <c r="L34" s="10" t="n"/>
      <c r="M34" s="10">
        <f>IF(AND(L34&lt;&gt;"",G34&lt;&gt;""),L34/G34,"")</f>
        <v/>
      </c>
      <c r="N34" s="24" t="n">
        <v>465000</v>
      </c>
      <c r="O34" s="28">
        <f>IF(AND(N34&lt;&gt;"",G34&lt;&gt;""),N34/G34,"")</f>
        <v/>
      </c>
      <c r="P34" s="9" t="n"/>
    </row>
    <row r="35" ht="28" customHeight="1">
      <c r="A35" s="14" t="inlineStr">
        <is>
          <t>Baufeld 12.4 - Reihenhäuser (Tiny-House)</t>
        </is>
      </c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1" t="n"/>
      <c r="N35" s="22" t="n"/>
      <c r="O35" s="22" t="n"/>
      <c r="P35" s="14" t="n"/>
    </row>
    <row r="36" ht="22" customHeight="1">
      <c r="A36" s="5" t="inlineStr">
        <is>
          <t>1</t>
        </is>
      </c>
      <c r="B36" s="6" t="inlineStr">
        <is>
          <t>Hs. 12.4-01</t>
        </is>
      </c>
      <c r="C36" s="6" t="inlineStr">
        <is>
          <t>BF 12.4</t>
        </is>
      </c>
      <c r="D36" s="6" t="inlineStr">
        <is>
          <t>ERH 5,00m</t>
        </is>
      </c>
      <c r="E36" s="5" t="inlineStr">
        <is>
          <t>4-5</t>
        </is>
      </c>
      <c r="F36" s="5" t="inlineStr">
        <is>
          <t>EG+OG+SG</t>
        </is>
      </c>
      <c r="G36" s="11" t="n">
        <v>134.4</v>
      </c>
      <c r="H36" s="5" t="n">
        <v>246</v>
      </c>
      <c r="I36" s="5" t="n">
        <v>11.47</v>
      </c>
      <c r="J36" s="6" t="inlineStr">
        <is>
          <t>Terrasse, Dachterrasse, Garten</t>
        </is>
      </c>
      <c r="K36" s="6" t="inlineStr">
        <is>
          <t>West</t>
        </is>
      </c>
      <c r="L36" s="7" t="n"/>
      <c r="M36" s="7">
        <f>IF(AND(L36&lt;&gt;"",G36&lt;&gt;""),L36/G36,"")</f>
        <v/>
      </c>
      <c r="N36" s="23" t="n">
        <v>569000</v>
      </c>
      <c r="O36" s="27">
        <f>IF(AND(N36&lt;&gt;"",G36&lt;&gt;""),N36/G36,"")</f>
        <v/>
      </c>
      <c r="P36" s="6" t="n"/>
    </row>
    <row r="37" ht="22" customHeight="1">
      <c r="A37" s="8" t="inlineStr">
        <is>
          <t>2</t>
        </is>
      </c>
      <c r="B37" s="9" t="inlineStr">
        <is>
          <t>Hs. 12.4-02</t>
        </is>
      </c>
      <c r="C37" s="9" t="inlineStr">
        <is>
          <t>BF 12.4</t>
        </is>
      </c>
      <c r="D37" s="9" t="inlineStr">
        <is>
          <t>MRH Tiny-House 5,10m</t>
        </is>
      </c>
      <c r="E37" s="8" t="inlineStr">
        <is>
          <t>3</t>
        </is>
      </c>
      <c r="F37" s="8" t="inlineStr">
        <is>
          <t>EG+OG</t>
        </is>
      </c>
      <c r="G37" s="12" t="n">
        <v>90.17</v>
      </c>
      <c r="H37" s="8" t="n">
        <v>154</v>
      </c>
      <c r="I37" s="8" t="n">
        <v>6</v>
      </c>
      <c r="J37" s="9" t="inlineStr">
        <is>
          <t>Terrasse, Garten</t>
        </is>
      </c>
      <c r="K37" s="9" t="inlineStr">
        <is>
          <t>West</t>
        </is>
      </c>
      <c r="L37" s="10" t="n"/>
      <c r="M37" s="10">
        <f>IF(AND(L37&lt;&gt;"",G37&lt;&gt;""),L37/G37,"")</f>
        <v/>
      </c>
      <c r="N37" s="24" t="n">
        <v>399000</v>
      </c>
      <c r="O37" s="28">
        <f>IF(AND(N37&lt;&gt;"",G37&lt;&gt;""),N37/G37,"")</f>
        <v/>
      </c>
      <c r="P37" s="9" t="n"/>
    </row>
    <row r="38" ht="22" customHeight="1">
      <c r="A38" s="5" t="inlineStr">
        <is>
          <t>3</t>
        </is>
      </c>
      <c r="B38" s="6" t="inlineStr">
        <is>
          <t>Hs. 12.4-03</t>
        </is>
      </c>
      <c r="C38" s="6" t="inlineStr">
        <is>
          <t>BF 12.4</t>
        </is>
      </c>
      <c r="D38" s="6" t="inlineStr">
        <is>
          <t>MRH Tiny-House 5,10m</t>
        </is>
      </c>
      <c r="E38" s="5" t="inlineStr">
        <is>
          <t>3</t>
        </is>
      </c>
      <c r="F38" s="5" t="inlineStr">
        <is>
          <t>EG+OG</t>
        </is>
      </c>
      <c r="G38" s="11" t="n">
        <v>90.17</v>
      </c>
      <c r="H38" s="5" t="n">
        <v>154</v>
      </c>
      <c r="I38" s="5" t="n">
        <v>6</v>
      </c>
      <c r="J38" s="6" t="inlineStr">
        <is>
          <t>Terrasse, Garten</t>
        </is>
      </c>
      <c r="K38" s="6" t="inlineStr">
        <is>
          <t>West</t>
        </is>
      </c>
      <c r="L38" s="7" t="n"/>
      <c r="M38" s="7">
        <f>IF(AND(L38&lt;&gt;"",G38&lt;&gt;""),L38/G38,"")</f>
        <v/>
      </c>
      <c r="N38" s="23" t="n">
        <v>399000</v>
      </c>
      <c r="O38" s="27">
        <f>IF(AND(N38&lt;&gt;"",G38&lt;&gt;""),N38/G38,"")</f>
        <v/>
      </c>
      <c r="P38" s="6" t="n"/>
    </row>
    <row r="39" ht="22" customHeight="1">
      <c r="A39" s="8" t="inlineStr">
        <is>
          <t>4</t>
        </is>
      </c>
      <c r="B39" s="9" t="inlineStr">
        <is>
          <t>Hs. 12.4-04</t>
        </is>
      </c>
      <c r="C39" s="9" t="inlineStr">
        <is>
          <t>BF 12.4</t>
        </is>
      </c>
      <c r="D39" s="9" t="inlineStr">
        <is>
          <t>ERH 5,00m (Treppe gedreht)</t>
        </is>
      </c>
      <c r="E39" s="8" t="inlineStr">
        <is>
          <t>5</t>
        </is>
      </c>
      <c r="F39" s="8" t="inlineStr">
        <is>
          <t>EG+OG+SG</t>
        </is>
      </c>
      <c r="G39" s="12" t="n">
        <v>133.36</v>
      </c>
      <c r="H39" s="8" t="n">
        <v>251</v>
      </c>
      <c r="I39" s="8" t="n">
        <v>11.47</v>
      </c>
      <c r="J39" s="9" t="inlineStr">
        <is>
          <t>Terrasse, Dachterrasse, Garten</t>
        </is>
      </c>
      <c r="K39" s="9" t="inlineStr">
        <is>
          <t>West</t>
        </is>
      </c>
      <c r="L39" s="10" t="n"/>
      <c r="M39" s="10">
        <f>IF(AND(L39&lt;&gt;"",G39&lt;&gt;""),L39/G39,"")</f>
        <v/>
      </c>
      <c r="N39" s="24" t="n">
        <v>565000</v>
      </c>
      <c r="O39" s="28">
        <f>IF(AND(N39&lt;&gt;"",G39&lt;&gt;""),N39/G39,"")</f>
        <v/>
      </c>
      <c r="P39" s="9" t="n"/>
    </row>
    <row r="40" ht="22" customHeight="1">
      <c r="A40" s="5" t="inlineStr">
        <is>
          <t>5</t>
        </is>
      </c>
      <c r="B40" s="6" t="inlineStr">
        <is>
          <t>Hs. 12.4-05</t>
        </is>
      </c>
      <c r="C40" s="6" t="inlineStr">
        <is>
          <t>BF 12.4</t>
        </is>
      </c>
      <c r="D40" s="6" t="inlineStr">
        <is>
          <t>MRH Tiny-House 5,10m</t>
        </is>
      </c>
      <c r="E40" s="5" t="inlineStr">
        <is>
          <t>3</t>
        </is>
      </c>
      <c r="F40" s="5" t="inlineStr">
        <is>
          <t>EG+OG</t>
        </is>
      </c>
      <c r="G40" s="11" t="n">
        <v>90.17</v>
      </c>
      <c r="H40" s="5" t="n">
        <v>154</v>
      </c>
      <c r="I40" s="5" t="n">
        <v>6</v>
      </c>
      <c r="J40" s="6" t="inlineStr">
        <is>
          <t>Terrasse, Garten</t>
        </is>
      </c>
      <c r="K40" s="6" t="inlineStr">
        <is>
          <t>West</t>
        </is>
      </c>
      <c r="L40" s="7" t="n"/>
      <c r="M40" s="7">
        <f>IF(AND(L40&lt;&gt;"",G40&lt;&gt;""),L40/G40,"")</f>
        <v/>
      </c>
      <c r="N40" s="23" t="n">
        <v>399000</v>
      </c>
      <c r="O40" s="27">
        <f>IF(AND(N40&lt;&gt;"",G40&lt;&gt;""),N40/G40,"")</f>
        <v/>
      </c>
      <c r="P40" s="6" t="n"/>
    </row>
    <row r="41" ht="22" customHeight="1">
      <c r="A41" s="8" t="inlineStr">
        <is>
          <t>6</t>
        </is>
      </c>
      <c r="B41" s="9" t="inlineStr">
        <is>
          <t>Hs. 12.4-06</t>
        </is>
      </c>
      <c r="C41" s="9" t="inlineStr">
        <is>
          <t>BF 12.4</t>
        </is>
      </c>
      <c r="D41" s="9" t="inlineStr">
        <is>
          <t>MRH Tiny-House 5,10m</t>
        </is>
      </c>
      <c r="E41" s="8" t="inlineStr">
        <is>
          <t>3</t>
        </is>
      </c>
      <c r="F41" s="8" t="inlineStr">
        <is>
          <t>EG+OG</t>
        </is>
      </c>
      <c r="G41" s="12" t="n">
        <v>90.17</v>
      </c>
      <c r="H41" s="8" t="n">
        <v>154</v>
      </c>
      <c r="I41" s="8" t="n">
        <v>6</v>
      </c>
      <c r="J41" s="9" t="inlineStr">
        <is>
          <t>Terrasse, Garten</t>
        </is>
      </c>
      <c r="K41" s="9" t="inlineStr">
        <is>
          <t>West</t>
        </is>
      </c>
      <c r="L41" s="10" t="n"/>
      <c r="M41" s="10">
        <f>IF(AND(L41&lt;&gt;"",G41&lt;&gt;""),L41/G41,"")</f>
        <v/>
      </c>
      <c r="N41" s="24" t="n">
        <v>399000</v>
      </c>
      <c r="O41" s="28">
        <f>IF(AND(N41&lt;&gt;"",G41&lt;&gt;""),N41/G41,"")</f>
        <v/>
      </c>
      <c r="P41" s="9" t="n"/>
    </row>
    <row r="42" ht="22" customHeight="1">
      <c r="A42" s="5" t="inlineStr">
        <is>
          <t>7</t>
        </is>
      </c>
      <c r="B42" s="6" t="inlineStr">
        <is>
          <t>Hs. 12.4-07</t>
        </is>
      </c>
      <c r="C42" s="6" t="inlineStr">
        <is>
          <t>BF 12.4</t>
        </is>
      </c>
      <c r="D42" s="6" t="inlineStr">
        <is>
          <t>MRH Tiny-House 5,10m</t>
        </is>
      </c>
      <c r="E42" s="5" t="inlineStr">
        <is>
          <t>3</t>
        </is>
      </c>
      <c r="F42" s="5" t="inlineStr">
        <is>
          <t>EG+OG</t>
        </is>
      </c>
      <c r="G42" s="11" t="n">
        <v>90.17</v>
      </c>
      <c r="H42" s="5" t="n">
        <v>154</v>
      </c>
      <c r="I42" s="5" t="n">
        <v>6</v>
      </c>
      <c r="J42" s="6" t="inlineStr">
        <is>
          <t>Terrasse, Garten</t>
        </is>
      </c>
      <c r="K42" s="6" t="inlineStr">
        <is>
          <t>West</t>
        </is>
      </c>
      <c r="L42" s="7" t="n"/>
      <c r="M42" s="7">
        <f>IF(AND(L42&lt;&gt;"",G42&lt;&gt;""),L42/G42,"")</f>
        <v/>
      </c>
      <c r="N42" s="23" t="n">
        <v>399000</v>
      </c>
      <c r="O42" s="27">
        <f>IF(AND(N42&lt;&gt;"",G42&lt;&gt;""),N42/G42,"")</f>
        <v/>
      </c>
      <c r="P42" s="6" t="n"/>
    </row>
    <row r="43" ht="22" customHeight="1">
      <c r="A43" s="8" t="inlineStr">
        <is>
          <t>8</t>
        </is>
      </c>
      <c r="B43" s="9" t="inlineStr">
        <is>
          <t>Hs. 12.4-08</t>
        </is>
      </c>
      <c r="C43" s="9" t="inlineStr">
        <is>
          <t>BF 12.4</t>
        </is>
      </c>
      <c r="D43" s="9" t="inlineStr">
        <is>
          <t>MRH Tiny-House 5,10m</t>
        </is>
      </c>
      <c r="E43" s="8" t="inlineStr">
        <is>
          <t>3</t>
        </is>
      </c>
      <c r="F43" s="8" t="inlineStr">
        <is>
          <t>EG+OG</t>
        </is>
      </c>
      <c r="G43" s="12" t="n">
        <v>90.17</v>
      </c>
      <c r="H43" s="8" t="n">
        <v>154</v>
      </c>
      <c r="I43" s="8" t="n">
        <v>6</v>
      </c>
      <c r="J43" s="9" t="inlineStr">
        <is>
          <t>Terrasse, Garten</t>
        </is>
      </c>
      <c r="K43" s="9" t="inlineStr">
        <is>
          <t>West</t>
        </is>
      </c>
      <c r="L43" s="10" t="n"/>
      <c r="M43" s="10">
        <f>IF(AND(L43&lt;&gt;"",G43&lt;&gt;""),L43/G43,"")</f>
        <v/>
      </c>
      <c r="N43" s="24" t="n">
        <v>399000</v>
      </c>
      <c r="O43" s="28">
        <f>IF(AND(N43&lt;&gt;"",G43&lt;&gt;""),N43/G43,"")</f>
        <v/>
      </c>
      <c r="P43" s="9" t="n"/>
    </row>
    <row r="44" ht="22" customHeight="1">
      <c r="A44" s="5" t="inlineStr">
        <is>
          <t>9</t>
        </is>
      </c>
      <c r="B44" s="6" t="inlineStr">
        <is>
          <t>Hs. 12.4-09</t>
        </is>
      </c>
      <c r="C44" s="6" t="inlineStr">
        <is>
          <t>BF 12.4</t>
        </is>
      </c>
      <c r="D44" s="6" t="inlineStr">
        <is>
          <t>ERH 5,00m</t>
        </is>
      </c>
      <c r="E44" s="5" t="inlineStr">
        <is>
          <t>4-5</t>
        </is>
      </c>
      <c r="F44" s="5" t="inlineStr">
        <is>
          <t>EG+OG+SG</t>
        </is>
      </c>
      <c r="G44" s="11" t="n">
        <v>134.4</v>
      </c>
      <c r="H44" s="5" t="n">
        <v>243</v>
      </c>
      <c r="I44" s="5" t="n">
        <v>11.47</v>
      </c>
      <c r="J44" s="6" t="inlineStr">
        <is>
          <t>Terrasse, Dachterrasse, Garten</t>
        </is>
      </c>
      <c r="K44" s="6" t="inlineStr">
        <is>
          <t>West</t>
        </is>
      </c>
      <c r="L44" s="7" t="n"/>
      <c r="M44" s="7">
        <f>IF(AND(L44&lt;&gt;"",G44&lt;&gt;""),L44/G44,"")</f>
        <v/>
      </c>
      <c r="N44" s="23" t="n">
        <v>569000</v>
      </c>
      <c r="O44" s="27">
        <f>IF(AND(N44&lt;&gt;"",G44&lt;&gt;""),N44/G44,"")</f>
        <v/>
      </c>
      <c r="P44" s="6" t="n"/>
    </row>
    <row r="45" ht="22" customHeight="1">
      <c r="A45" s="8" t="inlineStr">
        <is>
          <t>10</t>
        </is>
      </c>
      <c r="B45" s="9" t="inlineStr">
        <is>
          <t>Hs. 12.4-10</t>
        </is>
      </c>
      <c r="C45" s="9" t="inlineStr">
        <is>
          <t>BF 12.4</t>
        </is>
      </c>
      <c r="D45" s="9" t="inlineStr">
        <is>
          <t>MRH Tiny-House 5,10m</t>
        </is>
      </c>
      <c r="E45" s="8" t="inlineStr">
        <is>
          <t>3</t>
        </is>
      </c>
      <c r="F45" s="8" t="inlineStr">
        <is>
          <t>EG+OG</t>
        </is>
      </c>
      <c r="G45" s="12" t="n">
        <v>90.17</v>
      </c>
      <c r="H45" s="8" t="n">
        <v>154</v>
      </c>
      <c r="I45" s="8" t="n">
        <v>6</v>
      </c>
      <c r="J45" s="9" t="inlineStr">
        <is>
          <t>Terrasse, Garten</t>
        </is>
      </c>
      <c r="K45" s="9" t="inlineStr">
        <is>
          <t>West</t>
        </is>
      </c>
      <c r="L45" s="10" t="n"/>
      <c r="M45" s="10">
        <f>IF(AND(L45&lt;&gt;"",G45&lt;&gt;""),L45/G45,"")</f>
        <v/>
      </c>
      <c r="N45" s="24" t="n">
        <v>399000</v>
      </c>
      <c r="O45" s="28">
        <f>IF(AND(N45&lt;&gt;"",G45&lt;&gt;""),N45/G45,"")</f>
        <v/>
      </c>
      <c r="P45" s="9" t="n"/>
    </row>
    <row r="46" ht="22" customHeight="1">
      <c r="A46" s="5" t="inlineStr">
        <is>
          <t>11</t>
        </is>
      </c>
      <c r="B46" s="6" t="inlineStr">
        <is>
          <t>Hs. 12.4-11</t>
        </is>
      </c>
      <c r="C46" s="6" t="inlineStr">
        <is>
          <t>BF 12.4</t>
        </is>
      </c>
      <c r="D46" s="6" t="inlineStr">
        <is>
          <t>MRH Tiny-House 5,10m</t>
        </is>
      </c>
      <c r="E46" s="5" t="inlineStr">
        <is>
          <t>3</t>
        </is>
      </c>
      <c r="F46" s="5" t="inlineStr">
        <is>
          <t>EG+OG</t>
        </is>
      </c>
      <c r="G46" s="11" t="n">
        <v>90.17</v>
      </c>
      <c r="H46" s="5" t="n">
        <v>154</v>
      </c>
      <c r="I46" s="5" t="n">
        <v>6</v>
      </c>
      <c r="J46" s="6" t="inlineStr">
        <is>
          <t>Terrasse, Garten</t>
        </is>
      </c>
      <c r="K46" s="6" t="inlineStr">
        <is>
          <t>West</t>
        </is>
      </c>
      <c r="L46" s="7" t="n"/>
      <c r="M46" s="7">
        <f>IF(AND(L46&lt;&gt;"",G46&lt;&gt;""),L46/G46,"")</f>
        <v/>
      </c>
      <c r="N46" s="23" t="n">
        <v>399000</v>
      </c>
      <c r="O46" s="27">
        <f>IF(AND(N46&lt;&gt;"",G46&lt;&gt;""),N46/G46,"")</f>
        <v/>
      </c>
      <c r="P46" s="6" t="n"/>
    </row>
    <row r="47" ht="22" customHeight="1">
      <c r="A47" s="8" t="inlineStr">
        <is>
          <t>12</t>
        </is>
      </c>
      <c r="B47" s="9" t="inlineStr">
        <is>
          <t>Hs. 12.4-12</t>
        </is>
      </c>
      <c r="C47" s="9" t="inlineStr">
        <is>
          <t>BF 12.4</t>
        </is>
      </c>
      <c r="D47" s="9" t="inlineStr">
        <is>
          <t>ERH 5,00m</t>
        </is>
      </c>
      <c r="E47" s="8" t="inlineStr">
        <is>
          <t>4-5</t>
        </is>
      </c>
      <c r="F47" s="8" t="inlineStr">
        <is>
          <t>EG+OG+SG</t>
        </is>
      </c>
      <c r="G47" s="12" t="n">
        <v>134.4</v>
      </c>
      <c r="H47" s="8" t="n">
        <v>251</v>
      </c>
      <c r="I47" s="8" t="n">
        <v>11.47</v>
      </c>
      <c r="J47" s="9" t="inlineStr">
        <is>
          <t>Terrasse, Dachterrasse, Garten</t>
        </is>
      </c>
      <c r="K47" s="9" t="inlineStr">
        <is>
          <t>West</t>
        </is>
      </c>
      <c r="L47" s="10" t="n"/>
      <c r="M47" s="10">
        <f>IF(AND(L47&lt;&gt;"",G47&lt;&gt;""),L47/G47,"")</f>
        <v/>
      </c>
      <c r="N47" s="24" t="n">
        <v>569000</v>
      </c>
      <c r="O47" s="28">
        <f>IF(AND(N47&lt;&gt;"",G47&lt;&gt;""),N47/G47,"")</f>
        <v/>
      </c>
      <c r="P47" s="9" t="n"/>
    </row>
    <row r="48" ht="28" customHeight="1">
      <c r="A48" s="14" t="inlineStr">
        <is>
          <t>Baufeld 12.5 - Doppelhaushälften</t>
        </is>
      </c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1" t="n"/>
      <c r="N48" s="22" t="n"/>
      <c r="O48" s="22" t="n"/>
      <c r="P48" s="14" t="n"/>
    </row>
    <row r="49" ht="22" customHeight="1">
      <c r="A49" s="5" t="inlineStr">
        <is>
          <t>1</t>
        </is>
      </c>
      <c r="B49" s="6" t="inlineStr">
        <is>
          <t>Hs. 12.5-01</t>
        </is>
      </c>
      <c r="C49" s="6" t="inlineStr">
        <is>
          <t>BF 12.5</t>
        </is>
      </c>
      <c r="D49" s="6" t="inlineStr">
        <is>
          <t>DHH Variante 1</t>
        </is>
      </c>
      <c r="E49" s="5" t="inlineStr">
        <is>
          <t>4-5</t>
        </is>
      </c>
      <c r="F49" s="5" t="inlineStr">
        <is>
          <t>EG+OG+SB</t>
        </is>
      </c>
      <c r="G49" s="11" t="n">
        <v>120.38</v>
      </c>
      <c r="H49" s="5" t="n">
        <v>277</v>
      </c>
      <c r="I49" s="5" t="n">
        <v>7.5</v>
      </c>
      <c r="J49" s="6" t="inlineStr">
        <is>
          <t>Terrasse, Spitzboden, Garten, Stellplatz</t>
        </is>
      </c>
      <c r="K49" s="6" t="inlineStr">
        <is>
          <t>Ost</t>
        </is>
      </c>
      <c r="L49" s="7" t="n"/>
      <c r="M49" s="7">
        <f>IF(AND(L49&lt;&gt;"",G49&lt;&gt;""),L49/G49,"")</f>
        <v/>
      </c>
      <c r="N49" s="23" t="n">
        <v>519000</v>
      </c>
      <c r="O49" s="27">
        <f>IF(AND(N49&lt;&gt;"",G49&lt;&gt;""),N49/G49,"")</f>
        <v/>
      </c>
      <c r="P49" s="6" t="n"/>
    </row>
    <row r="50" ht="22" customHeight="1">
      <c r="A50" s="8" t="inlineStr">
        <is>
          <t>2</t>
        </is>
      </c>
      <c r="B50" s="9" t="inlineStr">
        <is>
          <t>Hs. 12.5-02</t>
        </is>
      </c>
      <c r="C50" s="9" t="inlineStr">
        <is>
          <t>BF 12.5</t>
        </is>
      </c>
      <c r="D50" s="9" t="inlineStr">
        <is>
          <t>DHH Variante 1</t>
        </is>
      </c>
      <c r="E50" s="8" t="inlineStr">
        <is>
          <t>4-5</t>
        </is>
      </c>
      <c r="F50" s="8" t="inlineStr">
        <is>
          <t>EG+OG+SB</t>
        </is>
      </c>
      <c r="G50" s="12" t="n">
        <v>120.38</v>
      </c>
      <c r="H50" s="8" t="n">
        <v>277</v>
      </c>
      <c r="I50" s="8" t="n">
        <v>7.5</v>
      </c>
      <c r="J50" s="9" t="inlineStr">
        <is>
          <t>Terrasse, Spitzboden, Garten, Stellplatz</t>
        </is>
      </c>
      <c r="K50" s="9" t="inlineStr">
        <is>
          <t>Ost</t>
        </is>
      </c>
      <c r="L50" s="10" t="n"/>
      <c r="M50" s="10">
        <f>IF(AND(L50&lt;&gt;"",G50&lt;&gt;""),L50/G50,"")</f>
        <v/>
      </c>
      <c r="N50" s="24" t="n">
        <v>519000</v>
      </c>
      <c r="O50" s="28">
        <f>IF(AND(N50&lt;&gt;"",G50&lt;&gt;""),N50/G50,"")</f>
        <v/>
      </c>
      <c r="P50" s="9" t="n"/>
    </row>
    <row r="51" ht="22" customHeight="1">
      <c r="A51" s="5" t="inlineStr">
        <is>
          <t>3</t>
        </is>
      </c>
      <c r="B51" s="6" t="inlineStr">
        <is>
          <t>Hs. 12.5-03</t>
        </is>
      </c>
      <c r="C51" s="6" t="inlineStr">
        <is>
          <t>BF 12.5</t>
        </is>
      </c>
      <c r="D51" s="6" t="inlineStr">
        <is>
          <t>DHH Variante 2</t>
        </is>
      </c>
      <c r="E51" s="5" t="inlineStr">
        <is>
          <t>4-5</t>
        </is>
      </c>
      <c r="F51" s="5" t="inlineStr">
        <is>
          <t>EG+OG+SB</t>
        </is>
      </c>
      <c r="G51" s="11" t="n">
        <v>119.84</v>
      </c>
      <c r="H51" s="5" t="n">
        <v>277</v>
      </c>
      <c r="I51" s="5" t="n">
        <v>7.5</v>
      </c>
      <c r="J51" s="6" t="inlineStr">
        <is>
          <t>Terrasse, Spitzboden, Garten, opt. Homeoffice</t>
        </is>
      </c>
      <c r="K51" s="6" t="inlineStr">
        <is>
          <t>Ost</t>
        </is>
      </c>
      <c r="L51" s="7" t="n"/>
      <c r="M51" s="7">
        <f>IF(AND(L51&lt;&gt;"",G51&lt;&gt;""),L51/G51,"")</f>
        <v/>
      </c>
      <c r="N51" s="23" t="n">
        <v>509000</v>
      </c>
      <c r="O51" s="27">
        <f>IF(AND(N51&lt;&gt;"",G51&lt;&gt;""),N51/G51,"")</f>
        <v/>
      </c>
      <c r="P51" s="6" t="n"/>
    </row>
    <row r="52" ht="22" customHeight="1">
      <c r="A52" s="8" t="inlineStr">
        <is>
          <t>4</t>
        </is>
      </c>
      <c r="B52" s="9" t="inlineStr">
        <is>
          <t>Hs. 12.5-04</t>
        </is>
      </c>
      <c r="C52" s="9" t="inlineStr">
        <is>
          <t>BF 12.5</t>
        </is>
      </c>
      <c r="D52" s="9" t="inlineStr">
        <is>
          <t>DHH Variante 2</t>
        </is>
      </c>
      <c r="E52" s="8" t="inlineStr">
        <is>
          <t>4-5</t>
        </is>
      </c>
      <c r="F52" s="8" t="inlineStr">
        <is>
          <t>EG+OG+SB</t>
        </is>
      </c>
      <c r="G52" s="12" t="n">
        <v>119.84</v>
      </c>
      <c r="H52" s="8" t="n">
        <v>277</v>
      </c>
      <c r="I52" s="8" t="n">
        <v>7.5</v>
      </c>
      <c r="J52" s="9" t="inlineStr">
        <is>
          <t>Terrasse, Spitzboden, Garten, opt. Homeoffice</t>
        </is>
      </c>
      <c r="K52" s="9" t="inlineStr">
        <is>
          <t>Ost</t>
        </is>
      </c>
      <c r="L52" s="10" t="n"/>
      <c r="M52" s="10">
        <f>IF(AND(L52&lt;&gt;"",G52&lt;&gt;""),L52/G52,"")</f>
        <v/>
      </c>
      <c r="N52" s="24" t="n">
        <v>509000</v>
      </c>
      <c r="O52" s="28">
        <f>IF(AND(N52&lt;&gt;"",G52&lt;&gt;""),N52/G52,"")</f>
        <v/>
      </c>
      <c r="P52" s="9" t="n"/>
    </row>
  </sheetData>
  <autoFilter ref="A4:M52"/>
  <mergeCells count="7">
    <mergeCell ref="A13:M13"/>
    <mergeCell ref="A2:I2"/>
    <mergeCell ref="A5:M5"/>
    <mergeCell ref="A35:M35"/>
    <mergeCell ref="A1:I1"/>
    <mergeCell ref="A48:M48"/>
    <mergeCell ref="A26:M26"/>
  </mergeCells>
  <pageMargins left="0.75" right="0.75" top="1" bottom="1" header="0.5" footer="0.5"/>
  <pageSetup orientation="landscape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3A7D44"/>
    <outlinePr summaryBelow="1" summaryRight="1"/>
    <pageSetUpPr fitToPage="1"/>
  </sheetPr>
  <dimension ref="A1:O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5.5" customWidth="1" min="1" max="1"/>
    <col width="9" customWidth="1" min="2" max="2"/>
    <col width="10" customWidth="1" min="3" max="3"/>
    <col width="13" customWidth="1" min="4" max="4"/>
    <col width="8" customWidth="1" min="5" max="5"/>
    <col width="15" customWidth="1" min="6" max="6"/>
    <col width="18" customWidth="1" min="7" max="7"/>
    <col width="20" customWidth="1" min="8" max="8"/>
    <col width="34" customWidth="1" min="9" max="9"/>
    <col width="14" customWidth="1" min="10" max="10"/>
    <col width="17" customWidth="1" min="11" max="11"/>
    <col width="13" customWidth="1" min="12" max="12"/>
    <col width="19" customWidth="1" min="13" max="13"/>
    <col width="15" customWidth="1" min="14" max="14"/>
  </cols>
  <sheetData>
    <row r="1" ht="55" customHeight="1">
      <c r="A1" s="17" t="inlineStr">
        <is>
          <t>TRAVEHUSEN · HAUS 3</t>
        </is>
      </c>
      <c r="I1" s="16" t="n"/>
      <c r="J1" s="16" t="n"/>
      <c r="K1" s="16" t="n"/>
      <c r="L1" s="16" t="n"/>
      <c r="O1" s="16" t="n"/>
    </row>
    <row r="2" ht="22" customHeight="1">
      <c r="A2" s="15" t="inlineStr">
        <is>
          <t>28 Wohneinheiten · barrierefrei · Tiefgarage mit 22 Stellplätzen</t>
        </is>
      </c>
      <c r="I2" s="16" t="n"/>
      <c r="J2" s="16" t="n"/>
      <c r="K2" s="16" t="n"/>
      <c r="L2" s="16" t="n"/>
      <c r="O2" s="16" t="n"/>
    </row>
    <row r="3" ht="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O3" s="2" t="n"/>
    </row>
    <row r="4" ht="38" customHeight="1">
      <c r="A4" s="3" t="inlineStr">
        <is>
          <t>Nr.</t>
        </is>
      </c>
      <c r="B4" s="3" t="inlineStr">
        <is>
          <t>WE-Nr.</t>
        </is>
      </c>
      <c r="C4" s="3" t="inlineStr">
        <is>
          <t>Geschoss</t>
        </is>
      </c>
      <c r="D4" s="3" t="inlineStr">
        <is>
          <t>Typ</t>
        </is>
      </c>
      <c r="E4" s="3" t="inlineStr">
        <is>
          <t>Zimmer</t>
        </is>
      </c>
      <c r="F4" s="3" t="inlineStr">
        <is>
          <t>Wohnfläche (m²)</t>
        </is>
      </c>
      <c r="G4" s="3" t="inlineStr">
        <is>
          <t>Terrasse/Balkon brutto (m²)</t>
        </is>
      </c>
      <c r="H4" s="3" t="inlineStr">
        <is>
          <t>Terrasse/Balkon anteilig (m²)</t>
        </is>
      </c>
      <c r="I4" s="3" t="inlineStr">
        <is>
          <t>Besonderheiten</t>
        </is>
      </c>
      <c r="J4" s="3" t="inlineStr">
        <is>
          <t>Ausrichtung</t>
        </is>
      </c>
      <c r="K4" s="3" t="inlineStr">
        <is>
          <t>Verkaufspreis (€)</t>
        </is>
      </c>
      <c r="L4" s="3" t="inlineStr">
        <is>
          <t>Preis/m² (€)</t>
        </is>
      </c>
      <c r="M4" s="19" t="inlineStr">
        <is>
          <t>Preisindikation
Gemini KI (€)</t>
        </is>
      </c>
      <c r="N4" s="19" t="inlineStr">
        <is>
          <t>€/m² Gemini KI</t>
        </is>
      </c>
      <c r="O4" s="3" t="inlineStr">
        <is>
          <t>Bemerkungen</t>
        </is>
      </c>
    </row>
    <row r="5" ht="28" customHeight="1">
      <c r="A5" s="14" t="inlineStr">
        <is>
          <t>Erdgeschoss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1" t="n"/>
      <c r="M5" s="22" t="n"/>
      <c r="N5" s="22" t="n"/>
      <c r="O5" s="14" t="n"/>
    </row>
    <row r="6" ht="22" customHeight="1">
      <c r="A6" s="5" t="n">
        <v>1</v>
      </c>
      <c r="B6" s="5" t="inlineStr">
        <is>
          <t>301.0</t>
        </is>
      </c>
      <c r="C6" s="6" t="inlineStr">
        <is>
          <t>EG</t>
        </is>
      </c>
      <c r="D6" s="6" t="inlineStr">
        <is>
          <t>1,5-Zimmer</t>
        </is>
      </c>
      <c r="E6" s="5" t="inlineStr">
        <is>
          <t>1,5</t>
        </is>
      </c>
      <c r="F6" s="11" t="n">
        <v>46.7</v>
      </c>
      <c r="G6" s="11" t="n">
        <v>12.05</v>
      </c>
      <c r="H6" s="11" t="n">
        <v>6.02</v>
      </c>
      <c r="I6" s="6" t="inlineStr">
        <is>
          <t>Terrasse, barrierefrei</t>
        </is>
      </c>
      <c r="J6" s="6" t="inlineStr">
        <is>
          <t>Süd-West</t>
        </is>
      </c>
      <c r="K6" s="7" t="n"/>
      <c r="L6" s="7">
        <f>IF(AND(K6&lt;&gt;"",F6&lt;&gt;""),K6/F6,"")</f>
        <v/>
      </c>
      <c r="M6" s="23" t="n">
        <v>353000</v>
      </c>
      <c r="N6" s="27">
        <f>IF(AND(M6&lt;&gt;"",F6&lt;&gt;""),M6/F6,"")</f>
        <v/>
      </c>
      <c r="O6" s="6" t="n"/>
    </row>
    <row r="7" ht="22" customHeight="1">
      <c r="A7" s="8" t="n">
        <v>2</v>
      </c>
      <c r="B7" s="8" t="inlineStr">
        <is>
          <t>302.0</t>
        </is>
      </c>
      <c r="C7" s="9" t="inlineStr">
        <is>
          <t>EG</t>
        </is>
      </c>
      <c r="D7" s="9" t="inlineStr">
        <is>
          <t>3-Zimmer</t>
        </is>
      </c>
      <c r="E7" s="8" t="inlineStr">
        <is>
          <t>3</t>
        </is>
      </c>
      <c r="F7" s="12" t="n">
        <v>76.11</v>
      </c>
      <c r="G7" s="12" t="n">
        <v>17.6</v>
      </c>
      <c r="H7" s="12" t="n">
        <v>8.800000000000001</v>
      </c>
      <c r="I7" s="9" t="inlineStr">
        <is>
          <t>Terrasse, barrierefrei</t>
        </is>
      </c>
      <c r="J7" s="9" t="inlineStr">
        <is>
          <t>Süd</t>
        </is>
      </c>
      <c r="K7" s="10" t="n"/>
      <c r="L7" s="10">
        <f>IF(AND(K7&lt;&gt;"",F7&lt;&gt;""),K7/F7,"")</f>
        <v/>
      </c>
      <c r="M7" s="24" t="n">
        <v>570000</v>
      </c>
      <c r="N7" s="28">
        <f>IF(AND(M7&lt;&gt;"",F7&lt;&gt;""),M7/F7,"")</f>
        <v/>
      </c>
      <c r="O7" s="9" t="n"/>
    </row>
    <row r="8" ht="22" customHeight="1">
      <c r="A8" s="5" t="n">
        <v>3</v>
      </c>
      <c r="B8" s="5" t="inlineStr">
        <is>
          <t>303.0</t>
        </is>
      </c>
      <c r="C8" s="6" t="inlineStr">
        <is>
          <t>EG</t>
        </is>
      </c>
      <c r="D8" s="6" t="inlineStr">
        <is>
          <t>3,5-Zimmer</t>
        </is>
      </c>
      <c r="E8" s="5" t="inlineStr">
        <is>
          <t>3,5</t>
        </is>
      </c>
      <c r="F8" s="11" t="n">
        <v>91.90000000000001</v>
      </c>
      <c r="G8" s="11" t="n">
        <v>18.83</v>
      </c>
      <c r="H8" s="11" t="n">
        <v>9.41</v>
      </c>
      <c r="I8" s="6" t="inlineStr">
        <is>
          <t>Terrasse, barrierefrei</t>
        </is>
      </c>
      <c r="J8" s="6" t="inlineStr">
        <is>
          <t>Süd</t>
        </is>
      </c>
      <c r="K8" s="7" t="n"/>
      <c r="L8" s="7">
        <f>IF(AND(K8&lt;&gt;"",F8&lt;&gt;""),K8/F8,"")</f>
        <v/>
      </c>
      <c r="M8" s="23" t="n">
        <v>688000</v>
      </c>
      <c r="N8" s="27">
        <f>IF(AND(M8&lt;&gt;"",F8&lt;&gt;""),M8/F8,"")</f>
        <v/>
      </c>
      <c r="O8" s="6" t="n"/>
    </row>
    <row r="9" ht="22" customHeight="1">
      <c r="A9" s="8" t="n">
        <v>4</v>
      </c>
      <c r="B9" s="8" t="inlineStr">
        <is>
          <t>304.0</t>
        </is>
      </c>
      <c r="C9" s="9" t="inlineStr">
        <is>
          <t>EG</t>
        </is>
      </c>
      <c r="D9" s="9" t="inlineStr">
        <is>
          <t>2-Zimmer</t>
        </is>
      </c>
      <c r="E9" s="8" t="inlineStr">
        <is>
          <t>2</t>
        </is>
      </c>
      <c r="F9" s="12" t="n">
        <v>75.17</v>
      </c>
      <c r="G9" s="12" t="n">
        <v>15.5</v>
      </c>
      <c r="H9" s="12" t="n">
        <v>7.75</v>
      </c>
      <c r="I9" s="9" t="inlineStr">
        <is>
          <t>Terrasse, barrierefrei</t>
        </is>
      </c>
      <c r="J9" s="9" t="inlineStr">
        <is>
          <t>Süd-Ost</t>
        </is>
      </c>
      <c r="K9" s="10" t="n"/>
      <c r="L9" s="10">
        <f>IF(AND(K9&lt;&gt;"",F9&lt;&gt;""),K9/F9,"")</f>
        <v/>
      </c>
      <c r="M9" s="24" t="n">
        <v>557000</v>
      </c>
      <c r="N9" s="28">
        <f>IF(AND(M9&lt;&gt;"",F9&lt;&gt;""),M9/F9,"")</f>
        <v/>
      </c>
      <c r="O9" s="9" t="n"/>
    </row>
    <row r="10" ht="22" customHeight="1">
      <c r="A10" s="5" t="n">
        <v>5</v>
      </c>
      <c r="B10" s="5" t="inlineStr">
        <is>
          <t>316.0</t>
        </is>
      </c>
      <c r="C10" s="6" t="inlineStr">
        <is>
          <t>EG</t>
        </is>
      </c>
      <c r="D10" s="6" t="inlineStr">
        <is>
          <t>2-Zimmer</t>
        </is>
      </c>
      <c r="E10" s="5" t="inlineStr">
        <is>
          <t>2</t>
        </is>
      </c>
      <c r="F10" s="11" t="n">
        <v>75.18000000000001</v>
      </c>
      <c r="G10" s="11" t="n">
        <v>15.5</v>
      </c>
      <c r="H10" s="11" t="n">
        <v>7.75</v>
      </c>
      <c r="I10" s="6" t="inlineStr">
        <is>
          <t>Terrasse, barrierefrei</t>
        </is>
      </c>
      <c r="J10" s="6" t="inlineStr">
        <is>
          <t>Nord-Ost</t>
        </is>
      </c>
      <c r="K10" s="7" t="n"/>
      <c r="L10" s="7">
        <f>IF(AND(K10&lt;&gt;"",F10&lt;&gt;""),K10/F10,"")</f>
        <v/>
      </c>
      <c r="M10" s="23" t="n">
        <v>536000</v>
      </c>
      <c r="N10" s="27">
        <f>IF(AND(M10&lt;&gt;"",F10&lt;&gt;""),M10/F10,"")</f>
        <v/>
      </c>
      <c r="O10" s="6" t="n"/>
    </row>
    <row r="11" ht="22" customHeight="1">
      <c r="A11" s="8" t="n">
        <v>6</v>
      </c>
      <c r="B11" s="8" t="inlineStr">
        <is>
          <t>317.0</t>
        </is>
      </c>
      <c r="C11" s="9" t="inlineStr">
        <is>
          <t>EG</t>
        </is>
      </c>
      <c r="D11" s="9" t="inlineStr">
        <is>
          <t>3,5-Zimmer</t>
        </is>
      </c>
      <c r="E11" s="8" t="inlineStr">
        <is>
          <t>3,5</t>
        </is>
      </c>
      <c r="F11" s="12" t="n">
        <v>91.91</v>
      </c>
      <c r="G11" s="12" t="n">
        <v>18.83</v>
      </c>
      <c r="H11" s="12" t="n">
        <v>9.42</v>
      </c>
      <c r="I11" s="9" t="inlineStr">
        <is>
          <t>Terrasse, barrierefrei</t>
        </is>
      </c>
      <c r="J11" s="9" t="inlineStr">
        <is>
          <t>Nord</t>
        </is>
      </c>
      <c r="K11" s="10" t="n"/>
      <c r="L11" s="10">
        <f>IF(AND(K11&lt;&gt;"",F11&lt;&gt;""),K11/F11,"")</f>
        <v/>
      </c>
      <c r="M11" s="24" t="n">
        <v>648000</v>
      </c>
      <c r="N11" s="28">
        <f>IF(AND(M11&lt;&gt;"",F11&lt;&gt;""),M11/F11,"")</f>
        <v/>
      </c>
      <c r="O11" s="9" t="n"/>
    </row>
    <row r="12" ht="22" customHeight="1">
      <c r="A12" s="5" t="n">
        <v>7</v>
      </c>
      <c r="B12" s="5" t="inlineStr">
        <is>
          <t>318.0</t>
        </is>
      </c>
      <c r="C12" s="6" t="inlineStr">
        <is>
          <t>EG</t>
        </is>
      </c>
      <c r="D12" s="6" t="inlineStr">
        <is>
          <t>3-Zimmer</t>
        </is>
      </c>
      <c r="E12" s="5" t="inlineStr">
        <is>
          <t>3</t>
        </is>
      </c>
      <c r="F12" s="11" t="n">
        <v>76.11</v>
      </c>
      <c r="G12" s="11" t="n">
        <v>17.6</v>
      </c>
      <c r="H12" s="11" t="n">
        <v>8.800000000000001</v>
      </c>
      <c r="I12" s="6" t="inlineStr">
        <is>
          <t>Terrasse, barrierefrei</t>
        </is>
      </c>
      <c r="J12" s="6" t="inlineStr">
        <is>
          <t>Nord</t>
        </is>
      </c>
      <c r="K12" s="7" t="n"/>
      <c r="L12" s="7">
        <f>IF(AND(K12&lt;&gt;"",F12&lt;&gt;""),K12/F12,"")</f>
        <v/>
      </c>
      <c r="M12" s="23" t="n">
        <v>537000</v>
      </c>
      <c r="N12" s="27">
        <f>IF(AND(M12&lt;&gt;"",F12&lt;&gt;""),M12/F12,"")</f>
        <v/>
      </c>
      <c r="O12" s="6" t="n"/>
    </row>
    <row r="13" ht="22" customHeight="1">
      <c r="A13" s="8" t="n">
        <v>8</v>
      </c>
      <c r="B13" s="8" t="inlineStr">
        <is>
          <t>319.0</t>
        </is>
      </c>
      <c r="C13" s="9" t="inlineStr">
        <is>
          <t>EG</t>
        </is>
      </c>
      <c r="D13" s="9" t="inlineStr">
        <is>
          <t>1,5-Zimmer</t>
        </is>
      </c>
      <c r="E13" s="8" t="inlineStr">
        <is>
          <t>1,5</t>
        </is>
      </c>
      <c r="F13" s="12" t="n">
        <v>46.7</v>
      </c>
      <c r="G13" s="12" t="n">
        <v>12.05</v>
      </c>
      <c r="H13" s="12" t="n">
        <v>6.03</v>
      </c>
      <c r="I13" s="9" t="inlineStr">
        <is>
          <t>Terrasse, barrierefrei</t>
        </is>
      </c>
      <c r="J13" s="9" t="inlineStr">
        <is>
          <t>Nord-West</t>
        </is>
      </c>
      <c r="K13" s="10" t="n"/>
      <c r="L13" s="10">
        <f>IF(AND(K13&lt;&gt;"",F13&lt;&gt;""),K13/F13,"")</f>
        <v/>
      </c>
      <c r="M13" s="24" t="n">
        <v>333000</v>
      </c>
      <c r="N13" s="28">
        <f>IF(AND(M13&lt;&gt;"",F13&lt;&gt;""),M13/F13,"")</f>
        <v/>
      </c>
      <c r="O13" s="9" t="n"/>
    </row>
    <row r="14" ht="28" customHeight="1">
      <c r="A14" s="14" t="inlineStr">
        <is>
          <t>1. Obergeschoss</t>
        </is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1" t="n"/>
      <c r="M14" s="22" t="n"/>
      <c r="N14" s="22" t="n"/>
      <c r="O14" s="14" t="n"/>
    </row>
    <row r="15" ht="22" customHeight="1">
      <c r="A15" s="5" t="n">
        <v>9</v>
      </c>
      <c r="B15" s="5" t="inlineStr">
        <is>
          <t>305.1</t>
        </is>
      </c>
      <c r="C15" s="6" t="inlineStr">
        <is>
          <t>1. OG</t>
        </is>
      </c>
      <c r="D15" s="6" t="inlineStr">
        <is>
          <t>1,5-Zimmer</t>
        </is>
      </c>
      <c r="E15" s="5" t="inlineStr">
        <is>
          <t>1,5</t>
        </is>
      </c>
      <c r="F15" s="11" t="n">
        <v>43.2</v>
      </c>
      <c r="G15" s="11" t="n">
        <v>7.7</v>
      </c>
      <c r="H15" s="11" t="n">
        <v>3.85</v>
      </c>
      <c r="I15" s="6" t="inlineStr">
        <is>
          <t>Balkon, barrierefrei</t>
        </is>
      </c>
      <c r="J15" s="6" t="inlineStr">
        <is>
          <t>Süd-West</t>
        </is>
      </c>
      <c r="K15" s="7" t="n"/>
      <c r="L15" s="7">
        <f>IF(AND(K15&lt;&gt;"",F15&lt;&gt;""),K15/F15,"")</f>
        <v/>
      </c>
      <c r="M15" s="23" t="n">
        <v>308000</v>
      </c>
      <c r="N15" s="27">
        <f>IF(AND(M15&lt;&gt;"",F15&lt;&gt;""),M15/F15,"")</f>
        <v/>
      </c>
      <c r="O15" s="6" t="n"/>
    </row>
    <row r="16" ht="22" customHeight="1">
      <c r="A16" s="8" t="n">
        <v>10</v>
      </c>
      <c r="B16" s="8" t="inlineStr">
        <is>
          <t>306.1</t>
        </is>
      </c>
      <c r="C16" s="9" t="inlineStr">
        <is>
          <t>1. OG</t>
        </is>
      </c>
      <c r="D16" s="9" t="inlineStr">
        <is>
          <t>3-Zimmer</t>
        </is>
      </c>
      <c r="E16" s="8" t="inlineStr">
        <is>
          <t>3</t>
        </is>
      </c>
      <c r="F16" s="12" t="n">
        <v>71.16</v>
      </c>
      <c r="G16" s="12" t="n">
        <v>7.7</v>
      </c>
      <c r="H16" s="12" t="n">
        <v>3.85</v>
      </c>
      <c r="I16" s="9" t="inlineStr">
        <is>
          <t>Balkon, barrierefrei</t>
        </is>
      </c>
      <c r="J16" s="9" t="inlineStr">
        <is>
          <t>Süd</t>
        </is>
      </c>
      <c r="K16" s="10" t="n"/>
      <c r="L16" s="10">
        <f>IF(AND(K16&lt;&gt;"",F16&lt;&gt;""),K16/F16,"")</f>
        <v/>
      </c>
      <c r="M16" s="24" t="n">
        <v>503000</v>
      </c>
      <c r="N16" s="28">
        <f>IF(AND(M16&lt;&gt;"",F16&lt;&gt;""),M16/F16,"")</f>
        <v/>
      </c>
      <c r="O16" s="9" t="n"/>
    </row>
    <row r="17" ht="22" customHeight="1">
      <c r="A17" s="5" t="n">
        <v>11</v>
      </c>
      <c r="B17" s="5" t="inlineStr">
        <is>
          <t>307.1</t>
        </is>
      </c>
      <c r="C17" s="6" t="inlineStr">
        <is>
          <t>1. OG</t>
        </is>
      </c>
      <c r="D17" s="6" t="inlineStr">
        <is>
          <t>3,5-Zimmer</t>
        </is>
      </c>
      <c r="E17" s="5" t="inlineStr">
        <is>
          <t>3,5</t>
        </is>
      </c>
      <c r="F17" s="11" t="n">
        <v>86.33</v>
      </c>
      <c r="G17" s="11" t="n">
        <v>7.7</v>
      </c>
      <c r="H17" s="11" t="n">
        <v>3.85</v>
      </c>
      <c r="I17" s="6" t="inlineStr">
        <is>
          <t>Balkon, barrierefrei</t>
        </is>
      </c>
      <c r="J17" s="6" t="inlineStr">
        <is>
          <t>Süd</t>
        </is>
      </c>
      <c r="K17" s="7" t="n"/>
      <c r="L17" s="7">
        <f>IF(AND(K17&lt;&gt;"",F17&lt;&gt;""),K17/F17,"")</f>
        <v/>
      </c>
      <c r="M17" s="23" t="n">
        <v>611000</v>
      </c>
      <c r="N17" s="27">
        <f>IF(AND(M17&lt;&gt;"",F17&lt;&gt;""),M17/F17,"")</f>
        <v/>
      </c>
      <c r="O17" s="6" t="n"/>
    </row>
    <row r="18" ht="22" customHeight="1">
      <c r="A18" s="8" t="n">
        <v>12</v>
      </c>
      <c r="B18" s="8" t="inlineStr">
        <is>
          <t>308.1</t>
        </is>
      </c>
      <c r="C18" s="9" t="inlineStr">
        <is>
          <t>1. OG</t>
        </is>
      </c>
      <c r="D18" s="9" t="inlineStr">
        <is>
          <t>2-Zimmer</t>
        </is>
      </c>
      <c r="E18" s="8" t="inlineStr">
        <is>
          <t>2</t>
        </is>
      </c>
      <c r="F18" s="12" t="n">
        <v>79.84999999999999</v>
      </c>
      <c r="G18" s="12" t="n">
        <v>7.7</v>
      </c>
      <c r="H18" s="12" t="n">
        <v>3.85</v>
      </c>
      <c r="I18" s="9" t="inlineStr">
        <is>
          <t>Balkon, barrierefrei</t>
        </is>
      </c>
      <c r="J18" s="9" t="inlineStr">
        <is>
          <t>Süd-Ost</t>
        </is>
      </c>
      <c r="K18" s="10" t="n"/>
      <c r="L18" s="10">
        <f>IF(AND(K18&lt;&gt;"",F18&lt;&gt;""),K18/F18,"")</f>
        <v/>
      </c>
      <c r="M18" s="24" t="n">
        <v>559000</v>
      </c>
      <c r="N18" s="28">
        <f>IF(AND(M18&lt;&gt;"",F18&lt;&gt;""),M18/F18,"")</f>
        <v/>
      </c>
      <c r="O18" s="9" t="n"/>
    </row>
    <row r="19" ht="22" customHeight="1">
      <c r="A19" s="5" t="n">
        <v>13</v>
      </c>
      <c r="B19" s="5" t="inlineStr">
        <is>
          <t>320.1</t>
        </is>
      </c>
      <c r="C19" s="6" t="inlineStr">
        <is>
          <t>1. OG</t>
        </is>
      </c>
      <c r="D19" s="6" t="inlineStr">
        <is>
          <t>2-Zimmer</t>
        </is>
      </c>
      <c r="E19" s="5" t="inlineStr">
        <is>
          <t>2</t>
        </is>
      </c>
      <c r="F19" s="11" t="n">
        <v>79.84999999999999</v>
      </c>
      <c r="G19" s="11" t="n">
        <v>7.7</v>
      </c>
      <c r="H19" s="11" t="n">
        <v>3.85</v>
      </c>
      <c r="I19" s="6" t="inlineStr">
        <is>
          <t>Balkon, barrierefrei</t>
        </is>
      </c>
      <c r="J19" s="6" t="inlineStr">
        <is>
          <t>Nord-Ost</t>
        </is>
      </c>
      <c r="K19" s="7" t="n"/>
      <c r="L19" s="7">
        <f>IF(AND(K19&lt;&gt;"",F19&lt;&gt;""),K19/F19,"")</f>
        <v/>
      </c>
      <c r="M19" s="23" t="n">
        <v>537000</v>
      </c>
      <c r="N19" s="27">
        <f>IF(AND(M19&lt;&gt;"",F19&lt;&gt;""),M19/F19,"")</f>
        <v/>
      </c>
      <c r="O19" s="6" t="n"/>
    </row>
    <row r="20" ht="22" customHeight="1">
      <c r="A20" s="8" t="n">
        <v>14</v>
      </c>
      <c r="B20" s="8" t="inlineStr">
        <is>
          <t>321.1</t>
        </is>
      </c>
      <c r="C20" s="9" t="inlineStr">
        <is>
          <t>1. OG</t>
        </is>
      </c>
      <c r="D20" s="9" t="inlineStr">
        <is>
          <t>3,5-Zimmer</t>
        </is>
      </c>
      <c r="E20" s="8" t="inlineStr">
        <is>
          <t>3,5</t>
        </is>
      </c>
      <c r="F20" s="12" t="n">
        <v>86.33</v>
      </c>
      <c r="G20" s="12" t="n">
        <v>7.7</v>
      </c>
      <c r="H20" s="12" t="n">
        <v>3.85</v>
      </c>
      <c r="I20" s="9" t="inlineStr">
        <is>
          <t>Balkon, barrierefrei</t>
        </is>
      </c>
      <c r="J20" s="9" t="inlineStr">
        <is>
          <t>Nord</t>
        </is>
      </c>
      <c r="K20" s="10" t="n"/>
      <c r="L20" s="10">
        <f>IF(AND(K20&lt;&gt;"",F20&lt;&gt;""),K20/F20,"")</f>
        <v/>
      </c>
      <c r="M20" s="24" t="n">
        <v>575000</v>
      </c>
      <c r="N20" s="28">
        <f>IF(AND(M20&lt;&gt;"",F20&lt;&gt;""),M20/F20,"")</f>
        <v/>
      </c>
      <c r="O20" s="9" t="n"/>
    </row>
    <row r="21" ht="22" customHeight="1">
      <c r="A21" s="5" t="n">
        <v>15</v>
      </c>
      <c r="B21" s="5" t="inlineStr">
        <is>
          <t>322.1</t>
        </is>
      </c>
      <c r="C21" s="6" t="inlineStr">
        <is>
          <t>1. OG</t>
        </is>
      </c>
      <c r="D21" s="6" t="inlineStr">
        <is>
          <t>3-Zimmer</t>
        </is>
      </c>
      <c r="E21" s="5" t="inlineStr">
        <is>
          <t>3</t>
        </is>
      </c>
      <c r="F21" s="11" t="n">
        <v>71.15000000000001</v>
      </c>
      <c r="G21" s="11" t="n">
        <v>7.7</v>
      </c>
      <c r="H21" s="11" t="n">
        <v>3.85</v>
      </c>
      <c r="I21" s="6" t="inlineStr">
        <is>
          <t>Balkon, barrierefrei</t>
        </is>
      </c>
      <c r="J21" s="6" t="inlineStr">
        <is>
          <t>Nord</t>
        </is>
      </c>
      <c r="K21" s="7" t="n"/>
      <c r="L21" s="7">
        <f>IF(AND(K21&lt;&gt;"",F21&lt;&gt;""),K21/F21,"")</f>
        <v/>
      </c>
      <c r="M21" s="23" t="n">
        <v>474000</v>
      </c>
      <c r="N21" s="27">
        <f>IF(AND(M21&lt;&gt;"",F21&lt;&gt;""),M21/F21,"")</f>
        <v/>
      </c>
      <c r="O21" s="6" t="n"/>
    </row>
    <row r="22" ht="22" customHeight="1">
      <c r="A22" s="8" t="n">
        <v>16</v>
      </c>
      <c r="B22" s="8" t="inlineStr">
        <is>
          <t>323.1</t>
        </is>
      </c>
      <c r="C22" s="9" t="inlineStr">
        <is>
          <t>1. OG</t>
        </is>
      </c>
      <c r="D22" s="9" t="inlineStr">
        <is>
          <t>1,5-Zimmer</t>
        </is>
      </c>
      <c r="E22" s="8" t="inlineStr">
        <is>
          <t>1,5</t>
        </is>
      </c>
      <c r="F22" s="12" t="n">
        <v>43.19</v>
      </c>
      <c r="G22" s="12" t="n">
        <v>7.7</v>
      </c>
      <c r="H22" s="12" t="n">
        <v>3.85</v>
      </c>
      <c r="I22" s="9" t="inlineStr">
        <is>
          <t>Balkon, barrierefrei</t>
        </is>
      </c>
      <c r="J22" s="9" t="inlineStr">
        <is>
          <t>Nord-West</t>
        </is>
      </c>
      <c r="K22" s="10" t="n"/>
      <c r="L22" s="10">
        <f>IF(AND(K22&lt;&gt;"",F22&lt;&gt;""),K22/F22,"")</f>
        <v/>
      </c>
      <c r="M22" s="24" t="n">
        <v>291000</v>
      </c>
      <c r="N22" s="28">
        <f>IF(AND(M22&lt;&gt;"",F22&lt;&gt;""),M22/F22,"")</f>
        <v/>
      </c>
      <c r="O22" s="9" t="n"/>
    </row>
    <row r="23" ht="28" customHeight="1">
      <c r="A23" s="14" t="inlineStr">
        <is>
          <t>2. Obergeschoss</t>
        </is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1" t="n"/>
      <c r="M23" s="22" t="n"/>
      <c r="N23" s="22" t="n"/>
      <c r="O23" s="14" t="n"/>
    </row>
    <row r="24" ht="22" customHeight="1">
      <c r="A24" s="5" t="n">
        <v>17</v>
      </c>
      <c r="B24" s="5" t="inlineStr">
        <is>
          <t>309.2</t>
        </is>
      </c>
      <c r="C24" s="6" t="inlineStr">
        <is>
          <t>2. OG</t>
        </is>
      </c>
      <c r="D24" s="6" t="inlineStr">
        <is>
          <t>1,5-Zimmer</t>
        </is>
      </c>
      <c r="E24" s="5" t="inlineStr">
        <is>
          <t>1,5</t>
        </is>
      </c>
      <c r="F24" s="11" t="n">
        <v>43.2</v>
      </c>
      <c r="G24" s="11" t="n">
        <v>7.7</v>
      </c>
      <c r="H24" s="11" t="n">
        <v>3.85</v>
      </c>
      <c r="I24" s="6" t="inlineStr">
        <is>
          <t>Balkon, barrierefrei</t>
        </is>
      </c>
      <c r="J24" s="6" t="inlineStr">
        <is>
          <t>Süd-West</t>
        </is>
      </c>
      <c r="K24" s="7" t="n"/>
      <c r="L24" s="7">
        <f>IF(AND(K24&lt;&gt;"",F24&lt;&gt;""),K24/F24,"")</f>
        <v/>
      </c>
      <c r="M24" s="23" t="n">
        <v>313000</v>
      </c>
      <c r="N24" s="27">
        <f>IF(AND(M24&lt;&gt;"",F24&lt;&gt;""),M24/F24,"")</f>
        <v/>
      </c>
      <c r="O24" s="6" t="n"/>
    </row>
    <row r="25" ht="22" customHeight="1">
      <c r="A25" s="8" t="n">
        <v>18</v>
      </c>
      <c r="B25" s="8" t="inlineStr">
        <is>
          <t>310.2</t>
        </is>
      </c>
      <c r="C25" s="9" t="inlineStr">
        <is>
          <t>2. OG</t>
        </is>
      </c>
      <c r="D25" s="9" t="inlineStr">
        <is>
          <t>3-Zimmer</t>
        </is>
      </c>
      <c r="E25" s="8" t="inlineStr">
        <is>
          <t>3</t>
        </is>
      </c>
      <c r="F25" s="12" t="n">
        <v>71.16</v>
      </c>
      <c r="G25" s="12" t="n">
        <v>7.7</v>
      </c>
      <c r="H25" s="12" t="n">
        <v>3.85</v>
      </c>
      <c r="I25" s="9" t="inlineStr">
        <is>
          <t>Balkon, barrierefrei</t>
        </is>
      </c>
      <c r="J25" s="9" t="inlineStr">
        <is>
          <t>Süd</t>
        </is>
      </c>
      <c r="K25" s="10" t="n"/>
      <c r="L25" s="10">
        <f>IF(AND(K25&lt;&gt;"",F25&lt;&gt;""),K25/F25,"")</f>
        <v/>
      </c>
      <c r="M25" s="24" t="n">
        <v>511000</v>
      </c>
      <c r="N25" s="28">
        <f>IF(AND(M25&lt;&gt;"",F25&lt;&gt;""),M25/F25,"")</f>
        <v/>
      </c>
      <c r="O25" s="9" t="n"/>
    </row>
    <row r="26" ht="22" customHeight="1">
      <c r="A26" s="5" t="n">
        <v>19</v>
      </c>
      <c r="B26" s="5" t="inlineStr">
        <is>
          <t>311.2</t>
        </is>
      </c>
      <c r="C26" s="6" t="inlineStr">
        <is>
          <t>2. OG</t>
        </is>
      </c>
      <c r="D26" s="6" t="inlineStr">
        <is>
          <t>3,5-Zimmer</t>
        </is>
      </c>
      <c r="E26" s="5" t="inlineStr">
        <is>
          <t>3,5</t>
        </is>
      </c>
      <c r="F26" s="11" t="n">
        <v>86.5</v>
      </c>
      <c r="G26" s="11" t="n">
        <v>7.7</v>
      </c>
      <c r="H26" s="11" t="n">
        <v>3.85</v>
      </c>
      <c r="I26" s="6" t="inlineStr">
        <is>
          <t>Balkon, barrierefrei</t>
        </is>
      </c>
      <c r="J26" s="6" t="inlineStr">
        <is>
          <t>Süd</t>
        </is>
      </c>
      <c r="K26" s="7" t="n"/>
      <c r="L26" s="7">
        <f>IF(AND(K26&lt;&gt;"",F26&lt;&gt;""),K26/F26,"")</f>
        <v/>
      </c>
      <c r="M26" s="23" t="n">
        <v>621000</v>
      </c>
      <c r="N26" s="27">
        <f>IF(AND(M26&lt;&gt;"",F26&lt;&gt;""),M26/F26,"")</f>
        <v/>
      </c>
      <c r="O26" s="6" t="n"/>
    </row>
    <row r="27" ht="22" customHeight="1">
      <c r="A27" s="8" t="n">
        <v>20</v>
      </c>
      <c r="B27" s="8" t="inlineStr">
        <is>
          <t>312.2</t>
        </is>
      </c>
      <c r="C27" s="9" t="inlineStr">
        <is>
          <t>2. OG</t>
        </is>
      </c>
      <c r="D27" s="9" t="inlineStr">
        <is>
          <t>2-Zimmer</t>
        </is>
      </c>
      <c r="E27" s="8" t="inlineStr">
        <is>
          <t>2</t>
        </is>
      </c>
      <c r="F27" s="12" t="n">
        <v>79.97</v>
      </c>
      <c r="G27" s="12" t="n">
        <v>7.7</v>
      </c>
      <c r="H27" s="12" t="n">
        <v>3.85</v>
      </c>
      <c r="I27" s="9" t="inlineStr">
        <is>
          <t>Balkon, barrierefrei</t>
        </is>
      </c>
      <c r="J27" s="9" t="inlineStr">
        <is>
          <t>Süd-Ost</t>
        </is>
      </c>
      <c r="K27" s="10" t="n"/>
      <c r="L27" s="10">
        <f>IF(AND(K27&lt;&gt;"",F27&lt;&gt;""),K27/F27,"")</f>
        <v/>
      </c>
      <c r="M27" s="24" t="n">
        <v>568000</v>
      </c>
      <c r="N27" s="28">
        <f>IF(AND(M27&lt;&gt;"",F27&lt;&gt;""),M27/F27,"")</f>
        <v/>
      </c>
      <c r="O27" s="9" t="n"/>
    </row>
    <row r="28" ht="22" customHeight="1">
      <c r="A28" s="5" t="n">
        <v>21</v>
      </c>
      <c r="B28" s="5" t="inlineStr">
        <is>
          <t>324.2</t>
        </is>
      </c>
      <c r="C28" s="6" t="inlineStr">
        <is>
          <t>2. OG</t>
        </is>
      </c>
      <c r="D28" s="6" t="inlineStr">
        <is>
          <t>2-Zimmer</t>
        </is>
      </c>
      <c r="E28" s="5" t="inlineStr">
        <is>
          <t>2</t>
        </is>
      </c>
      <c r="F28" s="11" t="n">
        <v>79.97</v>
      </c>
      <c r="G28" s="11" t="n">
        <v>7.7</v>
      </c>
      <c r="H28" s="11" t="n">
        <v>3.85</v>
      </c>
      <c r="I28" s="6" t="inlineStr">
        <is>
          <t>Balkon, barrierefrei</t>
        </is>
      </c>
      <c r="J28" s="6" t="inlineStr">
        <is>
          <t>Nord-Ost</t>
        </is>
      </c>
      <c r="K28" s="7" t="n"/>
      <c r="L28" s="7">
        <f>IF(AND(K28&lt;&gt;"",F28&lt;&gt;""),K28/F28,"")</f>
        <v/>
      </c>
      <c r="M28" s="23" t="n">
        <v>546000</v>
      </c>
      <c r="N28" s="27">
        <f>IF(AND(M28&lt;&gt;"",F28&lt;&gt;""),M28/F28,"")</f>
        <v/>
      </c>
      <c r="O28" s="6" t="n"/>
    </row>
    <row r="29" ht="22" customHeight="1">
      <c r="A29" s="8" t="n">
        <v>22</v>
      </c>
      <c r="B29" s="8" t="inlineStr">
        <is>
          <t>325.2</t>
        </is>
      </c>
      <c r="C29" s="9" t="inlineStr">
        <is>
          <t>2. OG</t>
        </is>
      </c>
      <c r="D29" s="9" t="inlineStr">
        <is>
          <t>3,5-Zimmer</t>
        </is>
      </c>
      <c r="E29" s="8" t="inlineStr">
        <is>
          <t>3,5</t>
        </is>
      </c>
      <c r="F29" s="12" t="n">
        <v>86.5</v>
      </c>
      <c r="G29" s="12" t="n">
        <v>7.7</v>
      </c>
      <c r="H29" s="12" t="n">
        <v>3.85</v>
      </c>
      <c r="I29" s="9" t="inlineStr">
        <is>
          <t>Balkon, barrierefrei</t>
        </is>
      </c>
      <c r="J29" s="9" t="inlineStr">
        <is>
          <t>Nord</t>
        </is>
      </c>
      <c r="K29" s="10" t="n"/>
      <c r="L29" s="10">
        <f>IF(AND(K29&lt;&gt;"",F29&lt;&gt;""),K29/F29,"")</f>
        <v/>
      </c>
      <c r="M29" s="24" t="n">
        <v>585000</v>
      </c>
      <c r="N29" s="28">
        <f>IF(AND(M29&lt;&gt;"",F29&lt;&gt;""),M29/F29,"")</f>
        <v/>
      </c>
      <c r="O29" s="9" t="n"/>
    </row>
    <row r="30" ht="22" customHeight="1">
      <c r="A30" s="5" t="n">
        <v>23</v>
      </c>
      <c r="B30" s="5" t="inlineStr">
        <is>
          <t>326.2</t>
        </is>
      </c>
      <c r="C30" s="6" t="inlineStr">
        <is>
          <t>2. OG</t>
        </is>
      </c>
      <c r="D30" s="6" t="inlineStr">
        <is>
          <t>3-Zimmer</t>
        </is>
      </c>
      <c r="E30" s="5" t="inlineStr">
        <is>
          <t>3</t>
        </is>
      </c>
      <c r="F30" s="11" t="n">
        <v>71.15000000000001</v>
      </c>
      <c r="G30" s="11" t="n">
        <v>7.7</v>
      </c>
      <c r="H30" s="11" t="n">
        <v>3.85</v>
      </c>
      <c r="I30" s="6" t="inlineStr">
        <is>
          <t>Balkon, barrierefrei</t>
        </is>
      </c>
      <c r="J30" s="6" t="inlineStr">
        <is>
          <t>Nord</t>
        </is>
      </c>
      <c r="K30" s="7" t="n"/>
      <c r="L30" s="7">
        <f>IF(AND(K30&lt;&gt;"",F30&lt;&gt;""),K30/F30,"")</f>
        <v/>
      </c>
      <c r="M30" s="23" t="n">
        <v>481000</v>
      </c>
      <c r="N30" s="27">
        <f>IF(AND(M30&lt;&gt;"",F30&lt;&gt;""),M30/F30,"")</f>
        <v/>
      </c>
      <c r="O30" s="6" t="n"/>
    </row>
    <row r="31" ht="22" customHeight="1">
      <c r="A31" s="8" t="n">
        <v>24</v>
      </c>
      <c r="B31" s="8" t="inlineStr">
        <is>
          <t>327.2</t>
        </is>
      </c>
      <c r="C31" s="9" t="inlineStr">
        <is>
          <t>2. OG</t>
        </is>
      </c>
      <c r="D31" s="9" t="inlineStr">
        <is>
          <t>1,5-Zimmer</t>
        </is>
      </c>
      <c r="E31" s="8" t="inlineStr">
        <is>
          <t>1,5</t>
        </is>
      </c>
      <c r="F31" s="12" t="n">
        <v>43.2</v>
      </c>
      <c r="G31" s="12" t="n">
        <v>7.7</v>
      </c>
      <c r="H31" s="12" t="n">
        <v>3.85</v>
      </c>
      <c r="I31" s="9" t="inlineStr">
        <is>
          <t>Balkon, barrierefrei</t>
        </is>
      </c>
      <c r="J31" s="9" t="inlineStr">
        <is>
          <t>Nord-West</t>
        </is>
      </c>
      <c r="K31" s="10" t="n"/>
      <c r="L31" s="10">
        <f>IF(AND(K31&lt;&gt;"",F31&lt;&gt;""),K31/F31,"")</f>
        <v/>
      </c>
      <c r="M31" s="24" t="n">
        <v>295000</v>
      </c>
      <c r="N31" s="28">
        <f>IF(AND(M31&lt;&gt;"",F31&lt;&gt;""),M31/F31,"")</f>
        <v/>
      </c>
      <c r="O31" s="9" t="n"/>
    </row>
    <row r="32" ht="28" customHeight="1">
      <c r="A32" s="14" t="inlineStr">
        <is>
          <t>3. Obergeschoss (Staffel)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1" t="n"/>
      <c r="M32" s="22" t="n"/>
      <c r="N32" s="22" t="n"/>
      <c r="O32" s="14" t="n"/>
    </row>
    <row r="33" ht="22" customHeight="1">
      <c r="A33" s="5" t="n">
        <v>25</v>
      </c>
      <c r="B33" s="5" t="inlineStr">
        <is>
          <t>313.3</t>
        </is>
      </c>
      <c r="C33" s="6" t="inlineStr">
        <is>
          <t>3. OG</t>
        </is>
      </c>
      <c r="D33" s="6" t="inlineStr">
        <is>
          <t>1,5-Zimmer</t>
        </is>
      </c>
      <c r="E33" s="5" t="inlineStr">
        <is>
          <t>1,5</t>
        </is>
      </c>
      <c r="F33" s="11" t="n">
        <v>43.2</v>
      </c>
      <c r="G33" s="11" t="n">
        <v>7.7</v>
      </c>
      <c r="H33" s="11" t="n">
        <v>3.85</v>
      </c>
      <c r="I33" s="6" t="inlineStr">
        <is>
          <t>Balkon, barrierefrei</t>
        </is>
      </c>
      <c r="J33" s="6" t="inlineStr">
        <is>
          <t>Süd-West</t>
        </is>
      </c>
      <c r="K33" s="7" t="n"/>
      <c r="L33" s="7">
        <f>IF(AND(K33&lt;&gt;"",F33&lt;&gt;""),K33/F33,"")</f>
        <v/>
      </c>
      <c r="M33" s="23" t="n">
        <v>363000</v>
      </c>
      <c r="N33" s="27">
        <f>IF(AND(M33&lt;&gt;"",F33&lt;&gt;""),M33/F33,"")</f>
        <v/>
      </c>
      <c r="O33" s="6" t="n"/>
    </row>
    <row r="34" ht="22" customHeight="1">
      <c r="A34" s="8" t="n">
        <v>26</v>
      </c>
      <c r="B34" s="8" t="inlineStr">
        <is>
          <t>314.3</t>
        </is>
      </c>
      <c r="C34" s="9" t="inlineStr">
        <is>
          <t>3. OG</t>
        </is>
      </c>
      <c r="D34" s="9" t="inlineStr">
        <is>
          <t>3-Zimmer</t>
        </is>
      </c>
      <c r="E34" s="8" t="inlineStr">
        <is>
          <t>3</t>
        </is>
      </c>
      <c r="F34" s="12" t="n">
        <v>71.17</v>
      </c>
      <c r="G34" s="12" t="n">
        <v>7.7</v>
      </c>
      <c r="H34" s="12" t="n">
        <v>3.85</v>
      </c>
      <c r="I34" s="9" t="inlineStr">
        <is>
          <t>Balkon, barrierefrei</t>
        </is>
      </c>
      <c r="J34" s="9" t="inlineStr">
        <is>
          <t>Süd</t>
        </is>
      </c>
      <c r="K34" s="10" t="n"/>
      <c r="L34" s="10">
        <f>IF(AND(K34&lt;&gt;"",F34&lt;&gt;""),K34/F34,"")</f>
        <v/>
      </c>
      <c r="M34" s="24" t="n">
        <v>592000</v>
      </c>
      <c r="N34" s="28">
        <f>IF(AND(M34&lt;&gt;"",F34&lt;&gt;""),M34/F34,"")</f>
        <v/>
      </c>
      <c r="O34" s="9" t="n"/>
    </row>
    <row r="35" ht="22" customHeight="1">
      <c r="A35" s="5" t="n">
        <v>27</v>
      </c>
      <c r="B35" s="5" t="inlineStr">
        <is>
          <t>315.3</t>
        </is>
      </c>
      <c r="C35" s="6" t="inlineStr">
        <is>
          <t>3. OG</t>
        </is>
      </c>
      <c r="D35" s="6" t="inlineStr">
        <is>
          <t>2-Zimmer</t>
        </is>
      </c>
      <c r="E35" s="5" t="inlineStr">
        <is>
          <t>2</t>
        </is>
      </c>
      <c r="F35" s="11" t="n">
        <v>98.92</v>
      </c>
      <c r="G35" s="11" t="n">
        <v>32.69</v>
      </c>
      <c r="H35" s="11" t="n">
        <v>16.35</v>
      </c>
      <c r="I35" s="6" t="inlineStr">
        <is>
          <t>Dachterrasse + Balkon, Arbeits-/Gästezimmer, WC extra, Premium</t>
        </is>
      </c>
      <c r="J35" s="6" t="inlineStr">
        <is>
          <t>Süd-Ost</t>
        </is>
      </c>
      <c r="K35" s="7" t="n"/>
      <c r="L35" s="7">
        <f>IF(AND(K35&lt;&gt;"",F35&lt;&gt;""),K35/F35,"")</f>
        <v/>
      </c>
      <c r="M35" s="23" t="n">
        <v>835000</v>
      </c>
      <c r="N35" s="27">
        <f>IF(AND(M35&lt;&gt;"",F35&lt;&gt;""),M35/F35,"")</f>
        <v/>
      </c>
      <c r="O35" s="6" t="n"/>
    </row>
    <row r="36" ht="22" customHeight="1">
      <c r="A36" s="8" t="n">
        <v>28</v>
      </c>
      <c r="B36" s="8" t="inlineStr">
        <is>
          <t>328.3</t>
        </is>
      </c>
      <c r="C36" s="9" t="inlineStr">
        <is>
          <t>3. OG</t>
        </is>
      </c>
      <c r="D36" s="9" t="inlineStr">
        <is>
          <t>2-Zimmer</t>
        </is>
      </c>
      <c r="E36" s="8" t="inlineStr">
        <is>
          <t>2</t>
        </is>
      </c>
      <c r="F36" s="12" t="n">
        <v>98.79000000000001</v>
      </c>
      <c r="G36" s="12" t="n">
        <v>32.7</v>
      </c>
      <c r="H36" s="12" t="n">
        <v>16.35</v>
      </c>
      <c r="I36" s="9" t="inlineStr">
        <is>
          <t>Dachterrasse + Balkon, Arbeits-/Gästezimmer, WC extra, Premium</t>
        </is>
      </c>
      <c r="J36" s="9" t="inlineStr">
        <is>
          <t>Nord-Ost</t>
        </is>
      </c>
      <c r="K36" s="10" t="n"/>
      <c r="L36" s="10">
        <f>IF(AND(K36&lt;&gt;"",F36&lt;&gt;""),K36/F36,"")</f>
        <v/>
      </c>
      <c r="M36" s="24" t="n">
        <v>802000</v>
      </c>
      <c r="N36" s="28">
        <f>IF(AND(M36&lt;&gt;"",F36&lt;&gt;""),M36/F36,"")</f>
        <v/>
      </c>
      <c r="O36" s="9" t="n"/>
    </row>
    <row r="37" ht="22" customHeight="1">
      <c r="A37" s="5" t="n">
        <v>29</v>
      </c>
      <c r="B37" s="5" t="inlineStr">
        <is>
          <t>329.3</t>
        </is>
      </c>
      <c r="C37" s="6" t="inlineStr">
        <is>
          <t>3. OG</t>
        </is>
      </c>
      <c r="D37" s="6" t="inlineStr">
        <is>
          <t>3-Zimmer</t>
        </is>
      </c>
      <c r="E37" s="5" t="inlineStr">
        <is>
          <t>3</t>
        </is>
      </c>
      <c r="F37" s="11" t="n">
        <v>71.17</v>
      </c>
      <c r="G37" s="11" t="n">
        <v>7.7</v>
      </c>
      <c r="H37" s="11" t="n">
        <v>3.85</v>
      </c>
      <c r="I37" s="6" t="inlineStr">
        <is>
          <t>Balkon, barrierefrei</t>
        </is>
      </c>
      <c r="J37" s="6" t="inlineStr">
        <is>
          <t>Nord</t>
        </is>
      </c>
      <c r="K37" s="7" t="n"/>
      <c r="L37" s="7">
        <f>IF(AND(K37&lt;&gt;"",F37&lt;&gt;""),K37/F37,"")</f>
        <v/>
      </c>
      <c r="M37" s="23" t="n">
        <v>558000</v>
      </c>
      <c r="N37" s="27">
        <f>IF(AND(M37&lt;&gt;"",F37&lt;&gt;""),M37/F37,"")</f>
        <v/>
      </c>
      <c r="O37" s="6" t="n"/>
    </row>
    <row r="38" ht="22" customHeight="1">
      <c r="A38" s="8" t="n">
        <v>30</v>
      </c>
      <c r="B38" s="8" t="inlineStr">
        <is>
          <t>330.3</t>
        </is>
      </c>
      <c r="C38" s="9" t="inlineStr">
        <is>
          <t>3. OG</t>
        </is>
      </c>
      <c r="D38" s="9" t="inlineStr">
        <is>
          <t>1,5-Zimmer</t>
        </is>
      </c>
      <c r="E38" s="8" t="inlineStr">
        <is>
          <t>1,5</t>
        </is>
      </c>
      <c r="F38" s="12" t="n">
        <v>43.2</v>
      </c>
      <c r="G38" s="12" t="n">
        <v>7.7</v>
      </c>
      <c r="H38" s="12" t="n">
        <v>3.85</v>
      </c>
      <c r="I38" s="9" t="inlineStr">
        <is>
          <t>Balkon, barrierefrei</t>
        </is>
      </c>
      <c r="J38" s="9" t="inlineStr">
        <is>
          <t>Nord-West</t>
        </is>
      </c>
      <c r="K38" s="10" t="n"/>
      <c r="L38" s="10">
        <f>IF(AND(K38&lt;&gt;"",F38&lt;&gt;""),K38/F38,"")</f>
        <v/>
      </c>
      <c r="M38" s="24" t="n">
        <v>342000</v>
      </c>
      <c r="N38" s="28">
        <f>IF(AND(M38&lt;&gt;"",F38&lt;&gt;""),M38/F38,"")</f>
        <v/>
      </c>
      <c r="O38" s="9" t="n"/>
    </row>
  </sheetData>
  <autoFilter ref="A4:L38"/>
  <mergeCells count="6">
    <mergeCell ref="A2:H2"/>
    <mergeCell ref="A5:L5"/>
    <mergeCell ref="A23:L23"/>
    <mergeCell ref="A32:L32"/>
    <mergeCell ref="A14:L14"/>
    <mergeCell ref="A1:H1"/>
  </mergeCells>
  <pageMargins left="0.75" right="0.75" top="1" bottom="1" header="0.5" footer="0.5"/>
  <pageSetup orientation="landscape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B8963E"/>
    <outlinePr summaryBelow="1" summaryRight="1"/>
    <pageSetUpPr fitToPage="1"/>
  </sheetPr>
  <dimension ref="A1:J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32" customWidth="1" min="2" max="2"/>
    <col width="9" customWidth="1" min="3" max="3"/>
    <col width="18" customWidth="1" min="4" max="4"/>
    <col width="16" customWidth="1" min="5" max="5"/>
    <col width="14" customWidth="1" min="6" max="6"/>
    <col width="22" customWidth="1" min="7" max="7"/>
    <col width="24" customWidth="1" min="8" max="8"/>
    <col width="20" customWidth="1" min="9" max="9"/>
    <col width="16" customWidth="1" min="10" max="10"/>
  </cols>
  <sheetData>
    <row r="1" ht="50" customHeight="1">
      <c r="A1" s="18" t="inlineStr">
        <is>
          <t>TRAVEHUSEN · ZUSAMMENFASSUNG</t>
        </is>
      </c>
      <c r="F1" s="16" t="n"/>
      <c r="G1" s="16" t="n"/>
      <c r="H1" s="16" t="n"/>
    </row>
    <row r="2" ht="5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36" customHeight="1">
      <c r="A3" s="3" t="inlineStr">
        <is>
          <t>Gebäude / Baufeld</t>
        </is>
      </c>
      <c r="B3" s="3" t="inlineStr">
        <is>
          <t>Typ</t>
        </is>
      </c>
      <c r="C3" s="3" t="inlineStr">
        <is>
          <t>Anzahl</t>
        </is>
      </c>
      <c r="D3" s="3" t="inlineStr">
        <is>
          <t>Wohnfläche (m²)</t>
        </is>
      </c>
      <c r="E3" s="3" t="inlineStr">
        <is>
          <t>Grundstück (m²)</t>
        </is>
      </c>
      <c r="F3" s="3" t="inlineStr">
        <is>
          <t>Ausrichtung</t>
        </is>
      </c>
      <c r="G3" s="3" t="inlineStr">
        <is>
          <t>Durchschnittspreis (€)</t>
        </is>
      </c>
      <c r="H3" s="3" t="inlineStr">
        <is>
          <t>Durchschnitts-m²-Preis (€)</t>
        </is>
      </c>
      <c r="I3" s="19" t="inlineStr">
        <is>
          <t>Ø Preisindikation
Gemini KI (€)</t>
        </is>
      </c>
      <c r="J3" s="19" t="inlineStr">
        <is>
          <t>Ø €/m²
Gemini KI</t>
        </is>
      </c>
    </row>
    <row r="4" ht="24" customHeight="1">
      <c r="A4" s="6" t="inlineStr">
        <is>
          <t>BF 12.1</t>
        </is>
      </c>
      <c r="B4" s="6" t="inlineStr">
        <is>
          <t>Einzelhaus</t>
        </is>
      </c>
      <c r="C4" s="5" t="n">
        <v>7</v>
      </c>
      <c r="D4" s="5" t="inlineStr">
        <is>
          <t>-</t>
        </is>
      </c>
      <c r="E4" s="5" t="inlineStr">
        <is>
          <t>448-557</t>
        </is>
      </c>
      <c r="F4" s="6" t="inlineStr">
        <is>
          <t>Süd</t>
        </is>
      </c>
      <c r="G4" s="7" t="n"/>
      <c r="H4" s="7" t="n"/>
      <c r="I4" s="23" t="n">
        <v>410000</v>
      </c>
      <c r="J4" s="27" t="n">
        <v>880</v>
      </c>
    </row>
    <row r="5" ht="24" customHeight="1">
      <c r="A5" s="9" t="inlineStr">
        <is>
          <t>BF 12.2</t>
        </is>
      </c>
      <c r="B5" s="9" t="inlineStr">
        <is>
          <t>MRH 6,00m (4-Zi.)</t>
        </is>
      </c>
      <c r="C5" s="8" t="n">
        <v>8</v>
      </c>
      <c r="D5" s="8" t="inlineStr">
        <is>
          <t>99,71</t>
        </is>
      </c>
      <c r="E5" s="8" t="inlineStr">
        <is>
          <t>174</t>
        </is>
      </c>
      <c r="F5" s="9" t="inlineStr">
        <is>
          <t>West</t>
        </is>
      </c>
      <c r="G5" s="10" t="n"/>
      <c r="H5" s="10" t="n"/>
      <c r="I5" s="24" t="n">
        <v>419000</v>
      </c>
      <c r="J5" s="28" t="n">
        <v>4202</v>
      </c>
    </row>
    <row r="6" ht="24" customHeight="1">
      <c r="A6" s="6" t="inlineStr">
        <is>
          <t>BF 12.2</t>
        </is>
      </c>
      <c r="B6" s="6" t="inlineStr">
        <is>
          <t>ERH 5,00m (4-5-Zi.)</t>
        </is>
      </c>
      <c r="C6" s="5" t="n">
        <v>3</v>
      </c>
      <c r="D6" s="5" t="inlineStr">
        <is>
          <t>134,40</t>
        </is>
      </c>
      <c r="E6" s="5" t="inlineStr">
        <is>
          <t>241</t>
        </is>
      </c>
      <c r="F6" s="6" t="inlineStr">
        <is>
          <t>West</t>
        </is>
      </c>
      <c r="G6" s="7" t="n"/>
      <c r="H6" s="7" t="n"/>
      <c r="I6" s="23" t="n">
        <v>569000</v>
      </c>
      <c r="J6" s="27" t="n">
        <v>4233</v>
      </c>
    </row>
    <row r="7" ht="24" customHeight="1">
      <c r="A7" s="9" t="inlineStr">
        <is>
          <t>BF 12.2</t>
        </is>
      </c>
      <c r="B7" s="9" t="inlineStr">
        <is>
          <t>ERH mit Einlieger-WE</t>
        </is>
      </c>
      <c r="C7" s="8" t="n">
        <v>1</v>
      </c>
      <c r="D7" s="8" t="inlineStr">
        <is>
          <t>128,67</t>
        </is>
      </c>
      <c r="E7" s="8" t="inlineStr">
        <is>
          <t>241</t>
        </is>
      </c>
      <c r="F7" s="9" t="inlineStr">
        <is>
          <t>West</t>
        </is>
      </c>
      <c r="G7" s="10" t="n"/>
      <c r="H7" s="10" t="n"/>
      <c r="I7" s="24" t="n">
        <v>559000</v>
      </c>
      <c r="J7" s="28" t="n">
        <v>4333</v>
      </c>
    </row>
    <row r="8" ht="24" customHeight="1">
      <c r="A8" s="6" t="inlineStr">
        <is>
          <t>BF 12.3</t>
        </is>
      </c>
      <c r="B8" s="6" t="inlineStr">
        <is>
          <t>DHH Variante 1 (6,80x11,00m)</t>
        </is>
      </c>
      <c r="C8" s="5" t="n">
        <v>2</v>
      </c>
      <c r="D8" s="5" t="inlineStr">
        <is>
          <t>111,49</t>
        </is>
      </c>
      <c r="E8" s="5" t="inlineStr">
        <is>
          <t>268-275</t>
        </is>
      </c>
      <c r="F8" s="6" t="inlineStr">
        <is>
          <t>Ost</t>
        </is>
      </c>
      <c r="G8" s="7" t="n"/>
      <c r="H8" s="7" t="n"/>
      <c r="I8" s="23" t="n">
        <v>489000</v>
      </c>
      <c r="J8" s="27" t="n">
        <v>4386</v>
      </c>
    </row>
    <row r="9" ht="24" customHeight="1">
      <c r="A9" s="9" t="inlineStr">
        <is>
          <t>BF 12.3</t>
        </is>
      </c>
      <c r="B9" s="9" t="inlineStr">
        <is>
          <t>DHH Variante 2 (6,80x11,00m)</t>
        </is>
      </c>
      <c r="C9" s="8" t="n">
        <v>6</v>
      </c>
      <c r="D9" s="8" t="inlineStr">
        <is>
          <t>111,49</t>
        </is>
      </c>
      <c r="E9" s="8" t="inlineStr">
        <is>
          <t>268</t>
        </is>
      </c>
      <c r="F9" s="9" t="inlineStr">
        <is>
          <t>Ost</t>
        </is>
      </c>
      <c r="G9" s="10" t="n"/>
      <c r="H9" s="10" t="n"/>
      <c r="I9" s="24" t="n">
        <v>465000</v>
      </c>
      <c r="J9" s="28" t="n">
        <v>4170</v>
      </c>
    </row>
    <row r="10" ht="24" customHeight="1">
      <c r="A10" s="6" t="inlineStr">
        <is>
          <t>BF 12.4</t>
        </is>
      </c>
      <c r="B10" s="6" t="inlineStr">
        <is>
          <t>MRH Tiny-House 5,10m (3-Zi.)</t>
        </is>
      </c>
      <c r="C10" s="5" t="n">
        <v>8</v>
      </c>
      <c r="D10" s="5" t="inlineStr">
        <is>
          <t>90,17</t>
        </is>
      </c>
      <c r="E10" s="5" t="inlineStr">
        <is>
          <t>154</t>
        </is>
      </c>
      <c r="F10" s="6" t="inlineStr">
        <is>
          <t>West</t>
        </is>
      </c>
      <c r="G10" s="7" t="n"/>
      <c r="H10" s="7" t="n"/>
      <c r="I10" s="23" t="n">
        <v>399000</v>
      </c>
      <c r="J10" s="27" t="n">
        <v>4425</v>
      </c>
    </row>
    <row r="11" ht="24" customHeight="1">
      <c r="A11" s="9" t="inlineStr">
        <is>
          <t>BF 12.4</t>
        </is>
      </c>
      <c r="B11" s="9" t="inlineStr">
        <is>
          <t>ERH 5,00m (4-5-Zi.)</t>
        </is>
      </c>
      <c r="C11" s="8" t="n">
        <v>4</v>
      </c>
      <c r="D11" s="8" t="inlineStr">
        <is>
          <t>133,36-134,40</t>
        </is>
      </c>
      <c r="E11" s="8" t="inlineStr">
        <is>
          <t>243-251</t>
        </is>
      </c>
      <c r="F11" s="9" t="inlineStr">
        <is>
          <t>West</t>
        </is>
      </c>
      <c r="G11" s="10" t="n"/>
      <c r="H11" s="10" t="n"/>
      <c r="I11" s="24" t="n">
        <v>568000</v>
      </c>
      <c r="J11" s="28" t="n">
        <v>4230</v>
      </c>
    </row>
    <row r="12" ht="24" customHeight="1">
      <c r="A12" s="6" t="inlineStr">
        <is>
          <t>BF 12.5</t>
        </is>
      </c>
      <c r="B12" s="6" t="inlineStr">
        <is>
          <t>DHH Variante 1 (6,80x11,80m)</t>
        </is>
      </c>
      <c r="C12" s="5" t="n">
        <v>2</v>
      </c>
      <c r="D12" s="5" t="inlineStr">
        <is>
          <t>120,38</t>
        </is>
      </c>
      <c r="E12" s="5" t="inlineStr">
        <is>
          <t>277</t>
        </is>
      </c>
      <c r="F12" s="6" t="inlineStr">
        <is>
          <t>Ost</t>
        </is>
      </c>
      <c r="G12" s="7" t="n"/>
      <c r="H12" s="7" t="n"/>
      <c r="I12" s="23" t="n">
        <v>519000</v>
      </c>
      <c r="J12" s="27" t="n">
        <v>4311</v>
      </c>
    </row>
    <row r="13" ht="24" customHeight="1">
      <c r="A13" s="9" t="inlineStr">
        <is>
          <t>BF 12.5</t>
        </is>
      </c>
      <c r="B13" s="9" t="inlineStr">
        <is>
          <t>DHH Variante 2 (6,80x11,80m)</t>
        </is>
      </c>
      <c r="C13" s="8" t="n">
        <v>2</v>
      </c>
      <c r="D13" s="8" t="inlineStr">
        <is>
          <t>119,84</t>
        </is>
      </c>
      <c r="E13" s="8" t="inlineStr">
        <is>
          <t>277</t>
        </is>
      </c>
      <c r="F13" s="9" t="inlineStr">
        <is>
          <t>Ost</t>
        </is>
      </c>
      <c r="G13" s="10" t="n"/>
      <c r="H13" s="10" t="n"/>
      <c r="I13" s="24" t="n">
        <v>509000</v>
      </c>
      <c r="J13" s="28" t="n">
        <v>4247</v>
      </c>
    </row>
    <row r="14" ht="24" customHeight="1">
      <c r="A14" s="6" t="inlineStr">
        <is>
          <t>Haus 3</t>
        </is>
      </c>
      <c r="B14" s="6" t="inlineStr">
        <is>
          <t>1,5-Zimmer-Wohnung</t>
        </is>
      </c>
      <c r="C14" s="5" t="n">
        <v>8</v>
      </c>
      <c r="D14" s="5" t="inlineStr">
        <is>
          <t>43,19-46,70</t>
        </is>
      </c>
      <c r="E14" s="5" t="inlineStr">
        <is>
          <t>-</t>
        </is>
      </c>
      <c r="F14" s="6" t="inlineStr">
        <is>
          <t>Süd / Nord</t>
        </is>
      </c>
      <c r="G14" s="7" t="n"/>
      <c r="H14" s="7" t="n"/>
      <c r="I14" s="23" t="n">
        <v>325000</v>
      </c>
      <c r="J14" s="27" t="n">
        <v>7280</v>
      </c>
    </row>
    <row r="15" ht="24" customHeight="1">
      <c r="A15" s="9" t="inlineStr">
        <is>
          <t>Haus 3</t>
        </is>
      </c>
      <c r="B15" s="9" t="inlineStr">
        <is>
          <t>2-Zimmer-Wohnung</t>
        </is>
      </c>
      <c r="C15" s="8" t="n">
        <v>4</v>
      </c>
      <c r="D15" s="8" t="inlineStr">
        <is>
          <t>75,17-79,97</t>
        </is>
      </c>
      <c r="E15" s="8" t="inlineStr">
        <is>
          <t>-</t>
        </is>
      </c>
      <c r="F15" s="9" t="inlineStr">
        <is>
          <t>Süd / Nord</t>
        </is>
      </c>
      <c r="G15" s="10" t="n"/>
      <c r="H15" s="10" t="n"/>
      <c r="I15" s="24" t="n">
        <v>547000</v>
      </c>
      <c r="J15" s="28" t="n">
        <v>7091</v>
      </c>
    </row>
    <row r="16" ht="24" customHeight="1">
      <c r="A16" s="6" t="inlineStr">
        <is>
          <t>Haus 3</t>
        </is>
      </c>
      <c r="B16" s="6" t="inlineStr">
        <is>
          <t>2-Zimmer-Wohnung (Premium, 3.OG)</t>
        </is>
      </c>
      <c r="C16" s="5" t="n">
        <v>2</v>
      </c>
      <c r="D16" s="5" t="inlineStr">
        <is>
          <t>98,79-98,92</t>
        </is>
      </c>
      <c r="E16" s="5" t="inlineStr">
        <is>
          <t>-</t>
        </is>
      </c>
      <c r="F16" s="6" t="inlineStr">
        <is>
          <t>Süd / Nord</t>
        </is>
      </c>
      <c r="G16" s="7" t="n"/>
      <c r="H16" s="7" t="n"/>
      <c r="I16" s="23" t="n">
        <v>819000</v>
      </c>
      <c r="J16" s="27" t="n">
        <v>8282</v>
      </c>
    </row>
    <row r="17" ht="24" customHeight="1">
      <c r="A17" s="9" t="inlineStr">
        <is>
          <t>Haus 3</t>
        </is>
      </c>
      <c r="B17" s="9" t="inlineStr">
        <is>
          <t>3-Zimmer-Wohnung</t>
        </is>
      </c>
      <c r="C17" s="8" t="n">
        <v>8</v>
      </c>
      <c r="D17" s="8" t="inlineStr">
        <is>
          <t>71,15-76,11</t>
        </is>
      </c>
      <c r="E17" s="8" t="inlineStr">
        <is>
          <t>-</t>
        </is>
      </c>
      <c r="F17" s="9" t="inlineStr">
        <is>
          <t>Süd / Nord</t>
        </is>
      </c>
      <c r="G17" s="10" t="n"/>
      <c r="H17" s="10" t="n"/>
      <c r="I17" s="24" t="n">
        <v>528000</v>
      </c>
      <c r="J17" s="28" t="n">
        <v>7068</v>
      </c>
    </row>
    <row r="18" ht="24" customHeight="1">
      <c r="A18" s="6" t="inlineStr">
        <is>
          <t>Haus 3</t>
        </is>
      </c>
      <c r="B18" s="6" t="inlineStr">
        <is>
          <t>3,5-Zimmer-Wohnung</t>
        </is>
      </c>
      <c r="C18" s="5" t="n">
        <v>6</v>
      </c>
      <c r="D18" s="5" t="inlineStr">
        <is>
          <t>86,33-91,91</t>
        </is>
      </c>
      <c r="E18" s="5" t="inlineStr">
        <is>
          <t>-</t>
        </is>
      </c>
      <c r="F18" s="6" t="inlineStr">
        <is>
          <t>Süd / Nord</t>
        </is>
      </c>
      <c r="G18" s="7" t="n"/>
      <c r="H18" s="7" t="n"/>
      <c r="I18" s="23" t="n">
        <v>621000</v>
      </c>
      <c r="J18" s="27" t="n">
        <v>7032</v>
      </c>
    </row>
    <row r="19" ht="6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25" t="n"/>
      <c r="J19" s="25" t="n"/>
    </row>
    <row r="20">
      <c r="A20" s="13" t="inlineStr">
        <is>
          <t>GESAMT</t>
        </is>
      </c>
      <c r="B20" s="13" t="n"/>
      <c r="C20" s="13">
        <f>SUM(C4:C18)</f>
        <v/>
      </c>
      <c r="D20" s="13" t="n"/>
      <c r="E20" s="13" t="n"/>
      <c r="F20" s="13" t="n"/>
      <c r="G20" s="13" t="n"/>
      <c r="H20" s="13" t="n"/>
      <c r="I20" s="26" t="n"/>
      <c r="J20" s="26" t="n"/>
    </row>
  </sheetData>
  <mergeCells count="1">
    <mergeCell ref="A1:E1"/>
  </mergeCells>
  <pageMargins left="0.75" right="0.75" top="1" bottom="1" header="0.5" footer="0.5"/>
  <pageSetup orientation="landscape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2026-04-07T12:23:27Z</dcterms:created>
  <dcterms:modified xsi:type="dcterms:W3CDTF">2026-04-08T14:16:35Z</dcterms:modified>
  <cp:lastModifiedBy>Jannik Marcus - Teigeler &amp; Partner Immobilien</cp:lastModifiedBy>
</cp:coreProperties>
</file>