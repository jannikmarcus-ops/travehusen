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relanaheick/Downloads/"/>
    </mc:Choice>
  </mc:AlternateContent>
  <xr:revisionPtr revIDLastSave="0" documentId="8_{E292A83B-EC81-A847-8023-0CB752D1D2E6}" xr6:coauthVersionLast="47" xr6:coauthVersionMax="47" xr10:uidLastSave="{00000000-0000-0000-0000-000000000000}"/>
  <bookViews>
    <workbookView xWindow="740" yWindow="760" windowWidth="29400" windowHeight="17260" xr2:uid="{00000000-000D-0000-FFFF-FFFF00000000}"/>
  </bookViews>
  <sheets>
    <sheet name="Übersicht" sheetId="1" r:id="rId1"/>
    <sheet name="Haus 3" sheetId="2" r:id="rId2"/>
    <sheet name="Zusammenfassung" sheetId="3" r:id="rId3"/>
  </sheets>
  <definedNames>
    <definedName name="_xlnm._FilterDatabase" localSheetId="1" hidden="1">'Haus 3'!$A$4:$L$38</definedName>
    <definedName name="_xlnm._FilterDatabase" localSheetId="0" hidden="1">Übersicht!$A$4:$M$53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C20" i="3"/>
  <c r="N38" i="2"/>
  <c r="L38" i="2"/>
  <c r="N37" i="2"/>
  <c r="L37" i="2"/>
  <c r="N36" i="2"/>
  <c r="L36" i="2"/>
  <c r="N35" i="2"/>
  <c r="L35" i="2"/>
  <c r="N34" i="2"/>
  <c r="L34" i="2"/>
  <c r="N33" i="2"/>
  <c r="L33" i="2"/>
  <c r="N31" i="2"/>
  <c r="L31" i="2"/>
  <c r="N30" i="2"/>
  <c r="L30" i="2"/>
  <c r="N29" i="2"/>
  <c r="L29" i="2"/>
  <c r="N28" i="2"/>
  <c r="L28" i="2"/>
  <c r="N27" i="2"/>
  <c r="L27" i="2"/>
  <c r="N26" i="2"/>
  <c r="L26" i="2"/>
  <c r="N25" i="2"/>
  <c r="L25" i="2"/>
  <c r="N24" i="2"/>
  <c r="L24" i="2"/>
  <c r="N22" i="2"/>
  <c r="L22" i="2"/>
  <c r="N21" i="2"/>
  <c r="L21" i="2"/>
  <c r="N20" i="2"/>
  <c r="L20" i="2"/>
  <c r="N19" i="2"/>
  <c r="L19" i="2"/>
  <c r="N18" i="2"/>
  <c r="L18" i="2"/>
  <c r="N17" i="2"/>
  <c r="L17" i="2"/>
  <c r="N16" i="2"/>
  <c r="L16" i="2"/>
  <c r="N15" i="2"/>
  <c r="L15" i="2"/>
  <c r="N13" i="2"/>
  <c r="L13" i="2"/>
  <c r="N12" i="2"/>
  <c r="L12" i="2"/>
  <c r="N11" i="2"/>
  <c r="L11" i="2"/>
  <c r="N10" i="2"/>
  <c r="L10" i="2"/>
  <c r="N9" i="2"/>
  <c r="L9" i="2"/>
  <c r="N8" i="2"/>
  <c r="L8" i="2"/>
  <c r="N7" i="2"/>
  <c r="L7" i="2"/>
  <c r="N6" i="2"/>
  <c r="L6" i="2"/>
  <c r="O53" i="1"/>
  <c r="M53" i="1"/>
  <c r="O52" i="1"/>
  <c r="M52" i="1"/>
  <c r="O51" i="1"/>
  <c r="M51" i="1"/>
  <c r="O50" i="1"/>
  <c r="M50" i="1"/>
  <c r="O48" i="1"/>
  <c r="M48" i="1"/>
  <c r="O47" i="1"/>
  <c r="M47" i="1"/>
  <c r="O46" i="1"/>
  <c r="M46" i="1"/>
  <c r="O45" i="1"/>
  <c r="M45" i="1"/>
  <c r="O44" i="1"/>
  <c r="M44" i="1"/>
  <c r="O43" i="1"/>
  <c r="M43" i="1"/>
  <c r="O42" i="1"/>
  <c r="M42" i="1"/>
  <c r="O41" i="1"/>
  <c r="M41" i="1"/>
  <c r="O40" i="1"/>
  <c r="M40" i="1"/>
  <c r="O39" i="1"/>
  <c r="M39" i="1"/>
  <c r="O38" i="1"/>
  <c r="M38" i="1"/>
  <c r="O37" i="1"/>
  <c r="M37" i="1"/>
  <c r="O35" i="1"/>
  <c r="M35" i="1"/>
  <c r="O34" i="1"/>
  <c r="M34" i="1"/>
  <c r="O33" i="1"/>
  <c r="M33" i="1"/>
  <c r="O32" i="1"/>
  <c r="M32" i="1"/>
  <c r="O31" i="1"/>
  <c r="M31" i="1"/>
  <c r="O30" i="1"/>
  <c r="M30" i="1"/>
  <c r="O29" i="1"/>
  <c r="M29" i="1"/>
  <c r="O28" i="1"/>
  <c r="M28" i="1"/>
  <c r="O26" i="1"/>
  <c r="O25" i="1"/>
  <c r="O24" i="1"/>
  <c r="O23" i="1"/>
  <c r="O22" i="1"/>
  <c r="O21" i="1"/>
  <c r="O20" i="1"/>
  <c r="O19" i="1"/>
  <c r="O18" i="1"/>
  <c r="O17" i="1"/>
  <c r="O16" i="1"/>
  <c r="O15" i="1"/>
</calcChain>
</file>

<file path=xl/sharedStrings.xml><?xml version="1.0" encoding="utf-8"?>
<sst xmlns="http://schemas.openxmlformats.org/spreadsheetml/2006/main" count="657" uniqueCount="213">
  <si>
    <t>TRAVEHUSEN</t>
  </si>
  <si>
    <t>Preiskalkulation · Übersicht aller Einheiten</t>
  </si>
  <si>
    <t>Nr.</t>
  </si>
  <si>
    <t>Bezeichnung</t>
  </si>
  <si>
    <t>Gebäude / Baufeld</t>
  </si>
  <si>
    <t>Typ</t>
  </si>
  <si>
    <t>Zimmer</t>
  </si>
  <si>
    <t>Geschosse</t>
  </si>
  <si>
    <t>Wohnfläche (m²)</t>
  </si>
  <si>
    <t>Grundstück (m²)</t>
  </si>
  <si>
    <t>Terrasse/Balkon (m²)</t>
  </si>
  <si>
    <t>Besonderheiten</t>
  </si>
  <si>
    <t>Ausrichtung</t>
  </si>
  <si>
    <t>Verkaufspreis (€)</t>
  </si>
  <si>
    <t>Preis/m² (€)</t>
  </si>
  <si>
    <t>Preisindikation
Gemini KI (€)</t>
  </si>
  <si>
    <t>€/m² Gemini KI</t>
  </si>
  <si>
    <t>Bemerkungen</t>
  </si>
  <si>
    <t>Baufeld 12.1 - Einzelhäuser</t>
  </si>
  <si>
    <t>1</t>
  </si>
  <si>
    <t>Hs. 12.1-01</t>
  </si>
  <si>
    <t>BF 12.1</t>
  </si>
  <si>
    <t>Einzelhaus</t>
  </si>
  <si>
    <t>-</t>
  </si>
  <si>
    <t>Keine Detailpläne vorliegend</t>
  </si>
  <si>
    <t>Süd</t>
  </si>
  <si>
    <t>2</t>
  </si>
  <si>
    <t>Hs. 12.1-02</t>
  </si>
  <si>
    <t>inkl. Weg</t>
  </si>
  <si>
    <t>3</t>
  </si>
  <si>
    <t>Hs. 12.1-03</t>
  </si>
  <si>
    <t>4</t>
  </si>
  <si>
    <t>Hs. 12.1-04</t>
  </si>
  <si>
    <t>5</t>
  </si>
  <si>
    <t>Hs. 12.1-05</t>
  </si>
  <si>
    <t>6</t>
  </si>
  <si>
    <t>Hs. 12.1-06</t>
  </si>
  <si>
    <t>7</t>
  </si>
  <si>
    <t>Hs. 12.1-07</t>
  </si>
  <si>
    <t>Baufeld 12.2 - Reihenhäuser</t>
  </si>
  <si>
    <t>Hs. 12.2-01</t>
  </si>
  <si>
    <t>BF 12.2</t>
  </si>
  <si>
    <t>ERH mit Einlieger-WE</t>
  </si>
  <si>
    <t>3+2</t>
  </si>
  <si>
    <t>EG+OG+SG</t>
  </si>
  <si>
    <t>Hauptwhg. 83,94 m² + Einlieger 44,73 m², Terrasse, Dachterrasse</t>
  </si>
  <si>
    <t>West</t>
  </si>
  <si>
    <t>Hs. 12.2-02</t>
  </si>
  <si>
    <t>MRH 6,00m</t>
  </si>
  <si>
    <t>EG+OG</t>
  </si>
  <si>
    <t>Terrasse, Garten</t>
  </si>
  <si>
    <t>Hs. 12.2-03</t>
  </si>
  <si>
    <t>Hs. 12.2-04</t>
  </si>
  <si>
    <t>ERH 5,00m</t>
  </si>
  <si>
    <t>4-5</t>
  </si>
  <si>
    <t>Terrasse, Dachterrasse, Galerie, Garten</t>
  </si>
  <si>
    <t>Hs. 12.2-05</t>
  </si>
  <si>
    <t>Hs. 12.2-06</t>
  </si>
  <si>
    <t>Hs. 12.2-07</t>
  </si>
  <si>
    <t>8</t>
  </si>
  <si>
    <t>Hs. 12.2-08</t>
  </si>
  <si>
    <t>9</t>
  </si>
  <si>
    <t>Hs. 12.2-09</t>
  </si>
  <si>
    <t>10</t>
  </si>
  <si>
    <t>Hs. 12.2-10</t>
  </si>
  <si>
    <t>11</t>
  </si>
  <si>
    <t>Hs. 12.2-11</t>
  </si>
  <si>
    <t>12</t>
  </si>
  <si>
    <t>Hs. 12.2-12</t>
  </si>
  <si>
    <t>Baufeld 12.3 - Doppelhaushälften</t>
  </si>
  <si>
    <t>Hs. 12.3-01</t>
  </si>
  <si>
    <t>BF 12.3</t>
  </si>
  <si>
    <t>DHH Variante 1</t>
  </si>
  <si>
    <t>EG+OG+SB</t>
  </si>
  <si>
    <t>Terrasse, Spitzboden, Garten, Stellplatz</t>
  </si>
  <si>
    <t>Ost</t>
  </si>
  <si>
    <t>Hs. 12.3-02</t>
  </si>
  <si>
    <t>Hs. 12.3-03</t>
  </si>
  <si>
    <t>DHH Variante 2</t>
  </si>
  <si>
    <t>Terrasse, Spitzboden, Garten</t>
  </si>
  <si>
    <t>Hs. 12.3-04</t>
  </si>
  <si>
    <t>Hs. 12.3-05</t>
  </si>
  <si>
    <t>Hs. 12.3-06</t>
  </si>
  <si>
    <t>Hs. 12.3-07</t>
  </si>
  <si>
    <t>Hs. 12.3-08</t>
  </si>
  <si>
    <t>Baufeld 12.4 - Reihenhäuser (Tiny-House)</t>
  </si>
  <si>
    <t>Hs. 12.4-01</t>
  </si>
  <si>
    <t>BF 12.4</t>
  </si>
  <si>
    <t>Terrasse, Dachterrasse, Garten</t>
  </si>
  <si>
    <t>Hs. 12.4-02</t>
  </si>
  <si>
    <t>MRH Tiny-House 5,10m</t>
  </si>
  <si>
    <t>Hs. 12.4-03</t>
  </si>
  <si>
    <t>Hs. 12.4-04</t>
  </si>
  <si>
    <t>ERH 5,00m (Treppe gedreht)</t>
  </si>
  <si>
    <t>Hs. 12.4-05</t>
  </si>
  <si>
    <t>Hs. 12.4-06</t>
  </si>
  <si>
    <t>Hs. 12.4-07</t>
  </si>
  <si>
    <t>Hs. 12.4-08</t>
  </si>
  <si>
    <t>Hs. 12.4-09</t>
  </si>
  <si>
    <t>Hs. 12.4-10</t>
  </si>
  <si>
    <t>Hs. 12.4-11</t>
  </si>
  <si>
    <t>Hs. 12.4-12</t>
  </si>
  <si>
    <t>Baufeld 12.5 - Doppelhaushälften</t>
  </si>
  <si>
    <t>Hs. 12.5-01</t>
  </si>
  <si>
    <t>BF 12.5</t>
  </si>
  <si>
    <t>Hs. 12.5-02</t>
  </si>
  <si>
    <t>Hs. 12.5-03</t>
  </si>
  <si>
    <t>Terrasse, Spitzboden, Garten, opt. Homeoffice</t>
  </si>
  <si>
    <t>Hs. 12.5-04</t>
  </si>
  <si>
    <t>TRAVEHUSEN · HAUS 3</t>
  </si>
  <si>
    <t>28 Wohneinheiten · barrierefrei · Tiefgarage mit 22 Stellplätzen</t>
  </si>
  <si>
    <t>WE-Nr.</t>
  </si>
  <si>
    <t>Geschoss</t>
  </si>
  <si>
    <t>Terrasse/Balkon brutto (m²)</t>
  </si>
  <si>
    <t>Terrasse/Balkon anteilig (m²)</t>
  </si>
  <si>
    <t>Erdgeschoss</t>
  </si>
  <si>
    <t>301.0</t>
  </si>
  <si>
    <t>EG</t>
  </si>
  <si>
    <t>1,5-Zimmer</t>
  </si>
  <si>
    <t>1,5</t>
  </si>
  <si>
    <t>Terrasse, barrierefrei</t>
  </si>
  <si>
    <t>Süd-West</t>
  </si>
  <si>
    <t>302.0</t>
  </si>
  <si>
    <t>3-Zimmer</t>
  </si>
  <si>
    <t>303.0</t>
  </si>
  <si>
    <t>3,5-Zimmer</t>
  </si>
  <si>
    <t>3,5</t>
  </si>
  <si>
    <t>304.0</t>
  </si>
  <si>
    <t>2-Zimmer</t>
  </si>
  <si>
    <t>Süd-Ost</t>
  </si>
  <si>
    <t>316.0</t>
  </si>
  <si>
    <t>Nord-Ost</t>
  </si>
  <si>
    <t>317.0</t>
  </si>
  <si>
    <t>Nord</t>
  </si>
  <si>
    <t>318.0</t>
  </si>
  <si>
    <t>319.0</t>
  </si>
  <si>
    <t>Nord-West</t>
  </si>
  <si>
    <t>1. Obergeschoss</t>
  </si>
  <si>
    <t>305.1</t>
  </si>
  <si>
    <t>1. OG</t>
  </si>
  <si>
    <t>Balkon, barrierefrei</t>
  </si>
  <si>
    <t>306.1</t>
  </si>
  <si>
    <t>307.1</t>
  </si>
  <si>
    <t>308.1</t>
  </si>
  <si>
    <t>320.1</t>
  </si>
  <si>
    <t>321.1</t>
  </si>
  <si>
    <t>322.1</t>
  </si>
  <si>
    <t>323.1</t>
  </si>
  <si>
    <t>2. Obergeschoss</t>
  </si>
  <si>
    <t>309.2</t>
  </si>
  <si>
    <t>2. OG</t>
  </si>
  <si>
    <t>310.2</t>
  </si>
  <si>
    <t>311.2</t>
  </si>
  <si>
    <t>312.2</t>
  </si>
  <si>
    <t>324.2</t>
  </si>
  <si>
    <t>325.2</t>
  </si>
  <si>
    <t>326.2</t>
  </si>
  <si>
    <t>327.2</t>
  </si>
  <si>
    <t>3. Obergeschoss (Staffel)</t>
  </si>
  <si>
    <t>313.3</t>
  </si>
  <si>
    <t>3. OG</t>
  </si>
  <si>
    <t>314.3</t>
  </si>
  <si>
    <t>315.3</t>
  </si>
  <si>
    <t>Dachterrasse + Balkon, Arbeits-/Gästezimmer, WC extra, Premium</t>
  </si>
  <si>
    <t>328.3</t>
  </si>
  <si>
    <t>329.3</t>
  </si>
  <si>
    <t>330.3</t>
  </si>
  <si>
    <t>TRAVEHUSEN · ZUSAMMENFASSUNG</t>
  </si>
  <si>
    <t>Anzahl</t>
  </si>
  <si>
    <t>Durchschnittspreis (€)</t>
  </si>
  <si>
    <t>Durchschnitts-m²-Preis (€)</t>
  </si>
  <si>
    <t>Ø Preisindikation
Gemini KI (€)</t>
  </si>
  <si>
    <t>Ø €/m²
Gemini KI</t>
  </si>
  <si>
    <t>448-557</t>
  </si>
  <si>
    <t>MRH 6,00m (4-Zi.)</t>
  </si>
  <si>
    <t>99,71</t>
  </si>
  <si>
    <t>174</t>
  </si>
  <si>
    <t>ERH 5,00m (4-5-Zi.)</t>
  </si>
  <si>
    <t>134,40</t>
  </si>
  <si>
    <t>241</t>
  </si>
  <si>
    <t>128,67</t>
  </si>
  <si>
    <t>DHH Variante 1 (6,80x11,00m)</t>
  </si>
  <si>
    <t>111,49</t>
  </si>
  <si>
    <t>268-275</t>
  </si>
  <si>
    <t>DHH Variante 2 (6,80x11,00m)</t>
  </si>
  <si>
    <t>268</t>
  </si>
  <si>
    <t>MRH Tiny-House 5,10m (3-Zi.)</t>
  </si>
  <si>
    <t>90,17</t>
  </si>
  <si>
    <t>154</t>
  </si>
  <si>
    <t>133,36-134,40</t>
  </si>
  <si>
    <t>243-251</t>
  </si>
  <si>
    <t>DHH Variante 1 (6,80x11,80m)</t>
  </si>
  <si>
    <t>120,38</t>
  </si>
  <si>
    <t>277</t>
  </si>
  <si>
    <t>DHH Variante 2 (6,80x11,80m)</t>
  </si>
  <si>
    <t>119,84</t>
  </si>
  <si>
    <t>Haus 3</t>
  </si>
  <si>
    <t>1,5-Zimmer-Wohnung</t>
  </si>
  <si>
    <t>43,19-46,70</t>
  </si>
  <si>
    <t>Süd / Nord</t>
  </si>
  <si>
    <t>2-Zimmer-Wohnung</t>
  </si>
  <si>
    <t>75,17-79,97</t>
  </si>
  <si>
    <t>2-Zimmer-Wohnung (Premium, 3.OG)</t>
  </si>
  <si>
    <t>98,79-98,92</t>
  </si>
  <si>
    <t>3-Zimmer-Wohnung</t>
  </si>
  <si>
    <t>71,15-76,11</t>
  </si>
  <si>
    <t>3,5-Zimmer-Wohnung</t>
  </si>
  <si>
    <t>86,33-91,91</t>
  </si>
  <si>
    <t>GESAMT</t>
  </si>
  <si>
    <t xml:space="preserve">Ost </t>
  </si>
  <si>
    <t xml:space="preserve">Süd </t>
  </si>
  <si>
    <t>Süd- West</t>
  </si>
  <si>
    <t>Hs. 12.1-08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</si>
</sst>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€"/>
    <numFmt numFmtId="165" formatCode="#,##0\ &quot;€&quot;"/>
    <numFmt numFmtId="166" formatCode="#,##0\ &quot;€/m²&quot;"/>
  </numFmts>
  <fonts count="10" x14ac:knownFonts="1">
    <font>
      <sz val="11"/>
      <color theme="1"/>
      <name val="Calibri"/>
      <family val="2"/>
      <scheme val="minor"/>
    </font>
    <font>
      <b/>
      <sz val="20"/>
      <color rgb="FF1A472A"/>
      <name val="Arial"/>
      <family val="2"/>
    </font>
    <font>
      <sz val="11"/>
      <color rgb="FF616161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212121"/>
      <name val="Arial"/>
      <family val="2"/>
    </font>
    <font>
      <b/>
      <sz val="16"/>
      <color rgb="FF1A472A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5E2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3A7D44"/>
      </patternFill>
    </fill>
    <fill>
      <patternFill patternType="solid">
        <fgColor rgb="FFEEF5EE"/>
      </patternFill>
    </fill>
    <fill>
      <patternFill patternType="solid">
        <fgColor rgb="FF1B5E20"/>
      </patternFill>
    </fill>
    <fill>
      <patternFill patternType="solid">
        <fgColor rgb="FF3A7D44"/>
      </patternFill>
    </fill>
    <fill>
      <patternFill patternType="solid">
        <fgColor rgb="FFFFFFFF"/>
      </patternFill>
    </fill>
    <fill>
      <patternFill patternType="solid">
        <fgColor rgb="FFEEF5E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B8963E"/>
      </bottom>
      <diagonal/>
    </border>
    <border>
      <left style="thin">
        <color rgb="FF145218"/>
      </left>
      <right style="thin">
        <color rgb="FF145218"/>
      </right>
      <top style="medium">
        <color rgb="FF1B5E20"/>
      </top>
      <bottom style="medium">
        <color rgb="FF1B5E20"/>
      </bottom>
      <diagonal/>
    </border>
    <border>
      <left style="hair">
        <color rgb="FFC8C8C8"/>
      </left>
      <right style="hair">
        <color rgb="FFC8C8C8"/>
      </right>
      <top style="hair">
        <color rgb="FFC8C8C8"/>
      </top>
      <bottom style="hair">
        <color rgb="FFC8C8C8"/>
      </bottom>
      <diagonal/>
    </border>
    <border>
      <left/>
      <right/>
      <top style="hair">
        <color rgb="FFC8C8C8"/>
      </top>
      <bottom style="hair">
        <color rgb="FFC8C8C8"/>
      </bottom>
      <diagonal/>
    </border>
    <border>
      <left/>
      <right style="hair">
        <color rgb="FFC8C8C8"/>
      </right>
      <top style="hair">
        <color rgb="FFC8C8C8"/>
      </top>
      <bottom style="hair">
        <color rgb="FFC8C8C8"/>
      </bottom>
      <diagonal/>
    </border>
    <border>
      <left style="thin">
        <color rgb="FF145218"/>
      </left>
      <right style="thin">
        <color rgb="FF145218"/>
      </right>
      <top style="medium">
        <color rgb="FF1B5E20"/>
      </top>
      <bottom style="medium">
        <color rgb="FF1B5E20"/>
      </bottom>
      <diagonal/>
    </border>
    <border>
      <left style="hair">
        <color rgb="FFC8C8C8"/>
      </left>
      <right style="hair">
        <color rgb="FFC8C8C8"/>
      </right>
      <top style="hair">
        <color rgb="FFC8C8C8"/>
      </top>
      <bottom style="hair">
        <color rgb="FFC8C8C8"/>
      </bottom>
      <diagonal/>
    </border>
    <border>
      <left/>
      <right/>
      <top/>
      <bottom/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0" fillId="2" borderId="1" xfId="0" applyFill="1"/>
    <xf numFmtId="0" fontId="0" fillId="2" borderId="2" xfId="0" applyFill="1" applyBorder="1"/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 wrapText="1"/>
    </xf>
    <xf numFmtId="4" fontId="5" fillId="5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7" borderId="8" xfId="0" applyFont="1" applyFill="1" applyBorder="1"/>
    <xf numFmtId="165" fontId="9" fillId="8" borderId="8" xfId="0" applyNumberFormat="1" applyFont="1" applyFill="1" applyBorder="1" applyAlignment="1">
      <alignment horizontal="right" vertical="center"/>
    </xf>
    <xf numFmtId="165" fontId="9" fillId="9" borderId="8" xfId="0" applyNumberFormat="1" applyFont="1" applyFill="1" applyBorder="1" applyAlignment="1">
      <alignment horizontal="right" vertical="center"/>
    </xf>
    <xf numFmtId="0" fontId="0" fillId="8" borderId="9" xfId="0" applyFill="1" applyBorder="1"/>
    <xf numFmtId="0" fontId="8" fillId="6" borderId="7" xfId="0" applyFont="1" applyFill="1" applyBorder="1" applyAlignment="1">
      <alignment horizontal="center" vertical="center" wrapText="1"/>
    </xf>
    <xf numFmtId="166" fontId="9" fillId="8" borderId="8" xfId="0" applyNumberFormat="1" applyFont="1" applyFill="1" applyBorder="1" applyAlignment="1">
      <alignment horizontal="right" vertical="center"/>
    </xf>
    <xf numFmtId="166" fontId="9" fillId="9" borderId="8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1" fillId="2" borderId="1" xfId="0" applyFont="1" applyFill="1" applyAlignment="1">
      <alignment horizontal="left" vertical="center"/>
    </xf>
    <xf numFmtId="0" fontId="6" fillId="2" borderId="1" xfId="0" applyFont="1" applyFill="1" applyAlignment="1">
      <alignment horizontal="left" vertical="center"/>
    </xf>
    <xf numFmtId="0" fontId="0" fillId="0" borderId="9" xfId="0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205740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34900" y="0"/>
          <a:ext cx="2057400" cy="3429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809625" cy="400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1476375" cy="285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0</xdr:colOff>
      <xdr:row>0</xdr:row>
      <xdr:rowOff>0</xdr:rowOff>
    </xdr:from>
    <xdr:ext cx="809625" cy="400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1333500" cy="266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7143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  <pageSetUpPr fitToPage="1"/>
  </sheetPr>
  <dimension ref="A1:P53"/>
  <sheetViews>
    <sheetView showGridLines="0" tabSelected="1" topLeftCell="D1" workbookViewId="0">
      <pane ySplit="4" topLeftCell="A5" activePane="bottomLeft" state="frozen"/>
      <selection pane="bottomLeft" activeCell="L7" sqref="L7"/>
    </sheetView>
  </sheetViews>
  <sheetFormatPr baseColWidth="10" defaultColWidth="8.83203125" defaultRowHeight="15" x14ac:dyDescent="0.2"/>
  <cols>
    <col min="1" max="1" width="5.5" customWidth="1"/>
    <col min="2" max="2" width="14" customWidth="1"/>
    <col min="3" max="3" width="16" customWidth="1"/>
    <col min="4" max="4" width="25" customWidth="1"/>
    <col min="5" max="5" width="8" customWidth="1"/>
    <col min="6" max="6" width="11" customWidth="1"/>
    <col min="7" max="8" width="15" customWidth="1"/>
    <col min="9" max="9" width="17" customWidth="1"/>
    <col min="10" max="10" width="38" customWidth="1"/>
    <col min="11" max="11" width="13" customWidth="1"/>
    <col min="12" max="12" width="17" customWidth="1"/>
    <col min="13" max="13" width="13" customWidth="1"/>
    <col min="14" max="14" width="19" customWidth="1"/>
    <col min="15" max="15" width="15" customWidth="1"/>
  </cols>
  <sheetData>
    <row r="1" spans="1:16" ht="55" customHeight="1" x14ac:dyDescent="0.2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1"/>
      <c r="K1" s="1"/>
      <c r="L1" s="1"/>
      <c r="M1" s="1"/>
      <c r="P1" s="1"/>
    </row>
    <row r="2" spans="1:16" ht="22" customHeight="1" x14ac:dyDescent="0.2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1"/>
      <c r="K2" s="1"/>
      <c r="L2" s="1"/>
      <c r="M2" s="1"/>
      <c r="P2" s="1"/>
    </row>
    <row r="3" spans="1:16" ht="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2"/>
    </row>
    <row r="4" spans="1:16" ht="38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14" t="s">
        <v>15</v>
      </c>
      <c r="O4" s="14" t="s">
        <v>16</v>
      </c>
      <c r="P4" s="3" t="s">
        <v>17</v>
      </c>
    </row>
    <row r="5" spans="1:16" ht="28" customHeight="1" x14ac:dyDescent="0.2">
      <c r="A5" s="22" t="s">
        <v>18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4"/>
      <c r="N5" s="15"/>
      <c r="O5" s="15"/>
      <c r="P5" s="4"/>
    </row>
    <row r="6" spans="1:16" ht="22" customHeight="1" x14ac:dyDescent="0.2">
      <c r="A6" s="5" t="s">
        <v>19</v>
      </c>
      <c r="B6" s="6" t="s">
        <v>20</v>
      </c>
      <c r="C6" s="6" t="s">
        <v>21</v>
      </c>
      <c r="D6" s="6" t="s">
        <v>22</v>
      </c>
      <c r="E6" s="5" t="s">
        <v>23</v>
      </c>
      <c r="F6" s="5" t="s">
        <v>23</v>
      </c>
      <c r="G6" s="5"/>
      <c r="H6" s="5">
        <v>557</v>
      </c>
      <c r="I6" s="5"/>
      <c r="J6" s="6" t="s">
        <v>24</v>
      </c>
      <c r="K6" s="6" t="s">
        <v>25</v>
      </c>
      <c r="L6" s="7">
        <f>O6*H6</f>
        <v>500743</v>
      </c>
      <c r="M6" s="20">
        <v>899</v>
      </c>
      <c r="N6" s="16">
        <v>394000</v>
      </c>
      <c r="O6" s="20">
        <v>899</v>
      </c>
      <c r="P6" s="6"/>
    </row>
    <row r="7" spans="1:16" ht="22" customHeight="1" x14ac:dyDescent="0.2">
      <c r="A7" s="8" t="s">
        <v>26</v>
      </c>
      <c r="B7" s="9" t="s">
        <v>27</v>
      </c>
      <c r="C7" s="9" t="s">
        <v>21</v>
      </c>
      <c r="D7" s="9" t="s">
        <v>22</v>
      </c>
      <c r="E7" s="8" t="s">
        <v>23</v>
      </c>
      <c r="F7" s="8" t="s">
        <v>23</v>
      </c>
      <c r="G7" s="8"/>
      <c r="H7" s="8">
        <v>502</v>
      </c>
      <c r="I7" s="8"/>
      <c r="J7" s="9" t="s">
        <v>28</v>
      </c>
      <c r="K7" s="9" t="s">
        <v>25</v>
      </c>
      <c r="L7" s="10"/>
      <c r="M7" s="21">
        <v>879</v>
      </c>
      <c r="N7" s="17">
        <v>427000</v>
      </c>
      <c r="O7" s="21">
        <v>879</v>
      </c>
      <c r="P7" s="9"/>
    </row>
    <row r="8" spans="1:16" ht="22" customHeight="1" x14ac:dyDescent="0.2">
      <c r="A8" s="5" t="s">
        <v>29</v>
      </c>
      <c r="B8" s="6" t="s">
        <v>30</v>
      </c>
      <c r="C8" s="6" t="s">
        <v>21</v>
      </c>
      <c r="D8" s="6" t="s">
        <v>22</v>
      </c>
      <c r="E8" s="5" t="s">
        <v>23</v>
      </c>
      <c r="F8" s="5" t="s">
        <v>23</v>
      </c>
      <c r="G8" s="5"/>
      <c r="H8" s="5">
        <v>448</v>
      </c>
      <c r="I8" s="5"/>
      <c r="J8" s="6" t="s">
        <v>28</v>
      </c>
      <c r="K8" s="6" t="s">
        <v>25</v>
      </c>
      <c r="L8" s="7"/>
      <c r="M8" s="20">
        <v>815</v>
      </c>
      <c r="N8" s="16">
        <v>473000</v>
      </c>
      <c r="O8" s="20">
        <v>855</v>
      </c>
      <c r="P8" s="6"/>
    </row>
    <row r="9" spans="1:16" ht="22" customHeight="1" x14ac:dyDescent="0.2">
      <c r="A9" s="8" t="s">
        <v>31</v>
      </c>
      <c r="B9" s="9" t="s">
        <v>32</v>
      </c>
      <c r="C9" s="9" t="s">
        <v>21</v>
      </c>
      <c r="D9" s="9" t="s">
        <v>22</v>
      </c>
      <c r="E9" s="8" t="s">
        <v>23</v>
      </c>
      <c r="F9" s="8" t="s">
        <v>23</v>
      </c>
      <c r="G9" s="8"/>
      <c r="H9" s="8">
        <v>448</v>
      </c>
      <c r="I9" s="8"/>
      <c r="J9" s="9"/>
      <c r="K9" s="9" t="s">
        <v>25</v>
      </c>
      <c r="L9" s="10"/>
      <c r="M9" s="20">
        <v>815</v>
      </c>
      <c r="N9" s="17">
        <v>394000</v>
      </c>
      <c r="O9" s="21">
        <v>855</v>
      </c>
      <c r="P9" s="9"/>
    </row>
    <row r="10" spans="1:16" ht="22" customHeight="1" x14ac:dyDescent="0.2">
      <c r="A10" s="5" t="s">
        <v>33</v>
      </c>
      <c r="B10" s="6" t="s">
        <v>34</v>
      </c>
      <c r="C10" s="6" t="s">
        <v>21</v>
      </c>
      <c r="D10" s="6" t="s">
        <v>22</v>
      </c>
      <c r="E10" s="5" t="s">
        <v>23</v>
      </c>
      <c r="F10" s="5" t="s">
        <v>23</v>
      </c>
      <c r="G10" s="5"/>
      <c r="H10" s="5">
        <v>448</v>
      </c>
      <c r="I10" s="5"/>
      <c r="J10" s="6"/>
      <c r="K10" s="6" t="s">
        <v>25</v>
      </c>
      <c r="L10" s="7"/>
      <c r="M10" s="20">
        <v>815</v>
      </c>
      <c r="N10" s="16">
        <v>394000</v>
      </c>
      <c r="O10" s="20">
        <v>855</v>
      </c>
      <c r="P10" s="6"/>
    </row>
    <row r="11" spans="1:16" ht="22" customHeight="1" x14ac:dyDescent="0.2">
      <c r="A11" s="8" t="s">
        <v>35</v>
      </c>
      <c r="B11" s="9" t="s">
        <v>36</v>
      </c>
      <c r="C11" s="9" t="s">
        <v>21</v>
      </c>
      <c r="D11" s="9" t="s">
        <v>22</v>
      </c>
      <c r="E11" s="8" t="s">
        <v>23</v>
      </c>
      <c r="F11" s="8" t="s">
        <v>23</v>
      </c>
      <c r="G11" s="8"/>
      <c r="H11" s="8">
        <v>448</v>
      </c>
      <c r="I11" s="8"/>
      <c r="J11" s="9"/>
      <c r="K11" s="9" t="s">
        <v>25</v>
      </c>
      <c r="L11" s="10"/>
      <c r="M11" s="20">
        <v>815</v>
      </c>
      <c r="N11" s="17">
        <v>394000</v>
      </c>
      <c r="O11" s="21">
        <v>855</v>
      </c>
      <c r="P11" s="9"/>
    </row>
    <row r="12" spans="1:16" ht="22" customHeight="1" x14ac:dyDescent="0.2">
      <c r="A12" s="5" t="s">
        <v>37</v>
      </c>
      <c r="B12" s="6" t="s">
        <v>38</v>
      </c>
      <c r="C12" s="6" t="s">
        <v>21</v>
      </c>
      <c r="D12" s="6" t="s">
        <v>22</v>
      </c>
      <c r="E12" s="5" t="s">
        <v>23</v>
      </c>
      <c r="F12" s="5" t="s">
        <v>23</v>
      </c>
      <c r="G12" s="5"/>
      <c r="H12" s="5">
        <v>502</v>
      </c>
      <c r="I12" s="5"/>
      <c r="J12" s="6"/>
      <c r="K12" s="6" t="s">
        <v>25</v>
      </c>
      <c r="L12" s="7"/>
      <c r="M12" s="20">
        <v>879</v>
      </c>
      <c r="N12" s="16">
        <v>394000</v>
      </c>
      <c r="O12" s="20">
        <v>879</v>
      </c>
      <c r="P12" s="6"/>
    </row>
    <row r="13" spans="1:16" s="29" customFormat="1" ht="22" customHeight="1" x14ac:dyDescent="0.2">
      <c r="A13" s="30">
        <v>8</v>
      </c>
      <c r="B13" s="6" t="s">
        <v>212</v>
      </c>
      <c r="C13" s="6" t="s">
        <v>21</v>
      </c>
      <c r="D13" s="6" t="s">
        <v>22</v>
      </c>
      <c r="E13" s="32" t="s">
        <v>23</v>
      </c>
      <c r="F13" s="32" t="s">
        <v>23</v>
      </c>
      <c r="G13" s="32"/>
      <c r="H13" s="32">
        <v>569</v>
      </c>
      <c r="I13" s="32"/>
      <c r="J13" s="31"/>
      <c r="K13" s="31" t="s">
        <v>25</v>
      </c>
      <c r="L13" s="33"/>
      <c r="M13" s="20">
        <v>899</v>
      </c>
      <c r="N13" s="16">
        <v>394000</v>
      </c>
      <c r="O13" s="20">
        <v>899</v>
      </c>
      <c r="P13" s="34"/>
    </row>
    <row r="14" spans="1:16" ht="28" customHeight="1" x14ac:dyDescent="0.2">
      <c r="A14" s="22" t="s">
        <v>39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4"/>
      <c r="N14" s="15"/>
      <c r="O14" s="15"/>
      <c r="P14" s="4"/>
    </row>
    <row r="15" spans="1:16" ht="22" customHeight="1" x14ac:dyDescent="0.2">
      <c r="A15" s="5" t="s">
        <v>19</v>
      </c>
      <c r="B15" s="6" t="s">
        <v>40</v>
      </c>
      <c r="C15" s="6" t="s">
        <v>41</v>
      </c>
      <c r="D15" s="6" t="s">
        <v>42</v>
      </c>
      <c r="E15" s="5" t="s">
        <v>43</v>
      </c>
      <c r="F15" s="5" t="s">
        <v>44</v>
      </c>
      <c r="G15" s="11">
        <v>128.66999999999999</v>
      </c>
      <c r="H15" s="5">
        <v>241</v>
      </c>
      <c r="I15" s="5">
        <v>11.25</v>
      </c>
      <c r="J15" s="6" t="s">
        <v>45</v>
      </c>
      <c r="K15" s="6" t="s">
        <v>46</v>
      </c>
      <c r="L15" s="7">
        <v>675000</v>
      </c>
      <c r="M15" s="7"/>
      <c r="N15" s="16">
        <v>676000</v>
      </c>
      <c r="O15" s="20">
        <f t="shared" ref="O15:O26" si="0">IF(AND(N15&lt;&gt;"",G15&lt;&gt;""),N15/G15,"")</f>
        <v>5253.7499028522579</v>
      </c>
      <c r="P15" s="6"/>
    </row>
    <row r="16" spans="1:16" ht="22" customHeight="1" x14ac:dyDescent="0.2">
      <c r="A16" s="8" t="s">
        <v>26</v>
      </c>
      <c r="B16" s="9" t="s">
        <v>47</v>
      </c>
      <c r="C16" s="9" t="s">
        <v>41</v>
      </c>
      <c r="D16" s="9" t="s">
        <v>48</v>
      </c>
      <c r="E16" s="8" t="s">
        <v>31</v>
      </c>
      <c r="F16" s="8" t="s">
        <v>49</v>
      </c>
      <c r="G16" s="12">
        <v>99.71</v>
      </c>
      <c r="H16" s="8">
        <v>174</v>
      </c>
      <c r="I16" s="8">
        <v>6</v>
      </c>
      <c r="J16" s="9" t="s">
        <v>50</v>
      </c>
      <c r="K16" s="9" t="s">
        <v>46</v>
      </c>
      <c r="L16" s="7">
        <v>485000</v>
      </c>
      <c r="M16" s="7"/>
      <c r="N16" s="17">
        <v>483000</v>
      </c>
      <c r="O16" s="21">
        <f t="shared" si="0"/>
        <v>4844.0477384414808</v>
      </c>
      <c r="P16" s="9"/>
    </row>
    <row r="17" spans="1:16" ht="22" customHeight="1" x14ac:dyDescent="0.2">
      <c r="A17" s="5" t="s">
        <v>29</v>
      </c>
      <c r="B17" s="6" t="s">
        <v>51</v>
      </c>
      <c r="C17" s="6" t="s">
        <v>41</v>
      </c>
      <c r="D17" s="6" t="s">
        <v>48</v>
      </c>
      <c r="E17" s="5" t="s">
        <v>31</v>
      </c>
      <c r="F17" s="5" t="s">
        <v>49</v>
      </c>
      <c r="G17" s="11">
        <v>99.71</v>
      </c>
      <c r="H17" s="5">
        <v>174</v>
      </c>
      <c r="I17" s="5">
        <v>6</v>
      </c>
      <c r="J17" s="6" t="s">
        <v>50</v>
      </c>
      <c r="K17" s="6" t="s">
        <v>46</v>
      </c>
      <c r="L17" s="7">
        <v>485000</v>
      </c>
      <c r="M17" s="7"/>
      <c r="N17" s="16">
        <v>483000</v>
      </c>
      <c r="O17" s="20">
        <f t="shared" si="0"/>
        <v>4844.0477384414808</v>
      </c>
      <c r="P17" s="6"/>
    </row>
    <row r="18" spans="1:16" ht="22" customHeight="1" x14ac:dyDescent="0.2">
      <c r="A18" s="8" t="s">
        <v>31</v>
      </c>
      <c r="B18" s="9" t="s">
        <v>52</v>
      </c>
      <c r="C18" s="9" t="s">
        <v>41</v>
      </c>
      <c r="D18" s="9" t="s">
        <v>53</v>
      </c>
      <c r="E18" s="8" t="s">
        <v>54</v>
      </c>
      <c r="F18" s="8" t="s">
        <v>44</v>
      </c>
      <c r="G18" s="12">
        <v>134.4</v>
      </c>
      <c r="H18" s="8">
        <v>241</v>
      </c>
      <c r="I18" s="8">
        <v>11.47</v>
      </c>
      <c r="J18" s="9" t="s">
        <v>55</v>
      </c>
      <c r="K18" s="9" t="s">
        <v>46</v>
      </c>
      <c r="L18" s="7">
        <v>695000</v>
      </c>
      <c r="M18" s="7"/>
      <c r="N18" s="17">
        <v>692000</v>
      </c>
      <c r="O18" s="21">
        <f t="shared" si="0"/>
        <v>5148.8095238095239</v>
      </c>
      <c r="P18" s="9"/>
    </row>
    <row r="19" spans="1:16" ht="22" customHeight="1" x14ac:dyDescent="0.2">
      <c r="A19" s="5" t="s">
        <v>33</v>
      </c>
      <c r="B19" s="6" t="s">
        <v>56</v>
      </c>
      <c r="C19" s="6" t="s">
        <v>41</v>
      </c>
      <c r="D19" s="6" t="s">
        <v>48</v>
      </c>
      <c r="E19" s="5" t="s">
        <v>31</v>
      </c>
      <c r="F19" s="5" t="s">
        <v>49</v>
      </c>
      <c r="G19" s="11">
        <v>99.71</v>
      </c>
      <c r="H19" s="5">
        <v>174</v>
      </c>
      <c r="I19" s="5">
        <v>6</v>
      </c>
      <c r="J19" s="6" t="s">
        <v>50</v>
      </c>
      <c r="K19" s="6" t="s">
        <v>46</v>
      </c>
      <c r="L19" s="7">
        <v>485000</v>
      </c>
      <c r="M19" s="7"/>
      <c r="N19" s="16">
        <v>483000</v>
      </c>
      <c r="O19" s="20">
        <f t="shared" si="0"/>
        <v>4844.0477384414808</v>
      </c>
      <c r="P19" s="6"/>
    </row>
    <row r="20" spans="1:16" ht="22" customHeight="1" x14ac:dyDescent="0.2">
      <c r="A20" s="8" t="s">
        <v>35</v>
      </c>
      <c r="B20" s="9" t="s">
        <v>57</v>
      </c>
      <c r="C20" s="9" t="s">
        <v>41</v>
      </c>
      <c r="D20" s="9" t="s">
        <v>48</v>
      </c>
      <c r="E20" s="8" t="s">
        <v>31</v>
      </c>
      <c r="F20" s="8" t="s">
        <v>49</v>
      </c>
      <c r="G20" s="12">
        <v>99.71</v>
      </c>
      <c r="H20" s="8">
        <v>174</v>
      </c>
      <c r="I20" s="8">
        <v>6</v>
      </c>
      <c r="J20" s="9" t="s">
        <v>50</v>
      </c>
      <c r="K20" s="9" t="s">
        <v>46</v>
      </c>
      <c r="L20" s="7">
        <v>485000</v>
      </c>
      <c r="M20" s="7"/>
      <c r="N20" s="17">
        <v>483000</v>
      </c>
      <c r="O20" s="21">
        <f t="shared" si="0"/>
        <v>4844.0477384414808</v>
      </c>
      <c r="P20" s="9"/>
    </row>
    <row r="21" spans="1:16" ht="22" customHeight="1" x14ac:dyDescent="0.2">
      <c r="A21" s="5" t="s">
        <v>37</v>
      </c>
      <c r="B21" s="6" t="s">
        <v>58</v>
      </c>
      <c r="C21" s="6" t="s">
        <v>41</v>
      </c>
      <c r="D21" s="6" t="s">
        <v>48</v>
      </c>
      <c r="E21" s="5" t="s">
        <v>31</v>
      </c>
      <c r="F21" s="5" t="s">
        <v>49</v>
      </c>
      <c r="G21" s="11">
        <v>99.71</v>
      </c>
      <c r="H21" s="5">
        <v>174</v>
      </c>
      <c r="I21" s="5">
        <v>6</v>
      </c>
      <c r="J21" s="6" t="s">
        <v>50</v>
      </c>
      <c r="K21" s="6" t="s">
        <v>46</v>
      </c>
      <c r="L21" s="7">
        <v>485000</v>
      </c>
      <c r="M21" s="7"/>
      <c r="N21" s="16">
        <v>483000</v>
      </c>
      <c r="O21" s="20">
        <f t="shared" si="0"/>
        <v>4844.0477384414808</v>
      </c>
      <c r="P21" s="6"/>
    </row>
    <row r="22" spans="1:16" ht="22" customHeight="1" x14ac:dyDescent="0.2">
      <c r="A22" s="8" t="s">
        <v>59</v>
      </c>
      <c r="B22" s="9" t="s">
        <v>60</v>
      </c>
      <c r="C22" s="9" t="s">
        <v>41</v>
      </c>
      <c r="D22" s="9" t="s">
        <v>48</v>
      </c>
      <c r="E22" s="8" t="s">
        <v>31</v>
      </c>
      <c r="F22" s="8" t="s">
        <v>49</v>
      </c>
      <c r="G22" s="12">
        <v>99.71</v>
      </c>
      <c r="H22" s="8">
        <v>174</v>
      </c>
      <c r="I22" s="8">
        <v>6</v>
      </c>
      <c r="J22" s="9" t="s">
        <v>50</v>
      </c>
      <c r="K22" s="9" t="s">
        <v>46</v>
      </c>
      <c r="L22" s="7">
        <v>485000</v>
      </c>
      <c r="M22" s="7"/>
      <c r="N22" s="17">
        <v>483000</v>
      </c>
      <c r="O22" s="21">
        <f t="shared" si="0"/>
        <v>4844.0477384414808</v>
      </c>
      <c r="P22" s="9"/>
    </row>
    <row r="23" spans="1:16" ht="22" customHeight="1" x14ac:dyDescent="0.2">
      <c r="A23" s="5" t="s">
        <v>61</v>
      </c>
      <c r="B23" s="6" t="s">
        <v>62</v>
      </c>
      <c r="C23" s="6" t="s">
        <v>41</v>
      </c>
      <c r="D23" s="6" t="s">
        <v>53</v>
      </c>
      <c r="E23" s="5" t="s">
        <v>54</v>
      </c>
      <c r="F23" s="5" t="s">
        <v>44</v>
      </c>
      <c r="G23" s="11">
        <v>134.4</v>
      </c>
      <c r="H23" s="5">
        <v>241</v>
      </c>
      <c r="I23" s="5">
        <v>11.47</v>
      </c>
      <c r="J23" s="6" t="s">
        <v>55</v>
      </c>
      <c r="K23" s="6" t="s">
        <v>46</v>
      </c>
      <c r="L23" s="7">
        <v>695000</v>
      </c>
      <c r="M23" s="7"/>
      <c r="N23" s="16">
        <v>692000</v>
      </c>
      <c r="O23" s="20">
        <f t="shared" si="0"/>
        <v>5148.8095238095239</v>
      </c>
      <c r="P23" s="6"/>
    </row>
    <row r="24" spans="1:16" ht="22" customHeight="1" x14ac:dyDescent="0.2">
      <c r="A24" s="8" t="s">
        <v>63</v>
      </c>
      <c r="B24" s="9" t="s">
        <v>64</v>
      </c>
      <c r="C24" s="9" t="s">
        <v>41</v>
      </c>
      <c r="D24" s="9" t="s">
        <v>48</v>
      </c>
      <c r="E24" s="8" t="s">
        <v>31</v>
      </c>
      <c r="F24" s="8" t="s">
        <v>49</v>
      </c>
      <c r="G24" s="12">
        <v>99.71</v>
      </c>
      <c r="H24" s="8">
        <v>174</v>
      </c>
      <c r="I24" s="8">
        <v>6</v>
      </c>
      <c r="J24" s="9" t="s">
        <v>50</v>
      </c>
      <c r="K24" s="9" t="s">
        <v>46</v>
      </c>
      <c r="L24" s="7">
        <v>485000</v>
      </c>
      <c r="M24" s="7"/>
      <c r="N24" s="17">
        <v>483000</v>
      </c>
      <c r="O24" s="21">
        <f t="shared" si="0"/>
        <v>4844.0477384414808</v>
      </c>
      <c r="P24" s="9"/>
    </row>
    <row r="25" spans="1:16" ht="22" customHeight="1" x14ac:dyDescent="0.2">
      <c r="A25" s="5" t="s">
        <v>65</v>
      </c>
      <c r="B25" s="6" t="s">
        <v>66</v>
      </c>
      <c r="C25" s="6" t="s">
        <v>41</v>
      </c>
      <c r="D25" s="6" t="s">
        <v>48</v>
      </c>
      <c r="E25" s="5" t="s">
        <v>31</v>
      </c>
      <c r="F25" s="5" t="s">
        <v>49</v>
      </c>
      <c r="G25" s="11">
        <v>99.71</v>
      </c>
      <c r="H25" s="5">
        <v>174</v>
      </c>
      <c r="I25" s="5">
        <v>6</v>
      </c>
      <c r="J25" s="6" t="s">
        <v>50</v>
      </c>
      <c r="K25" s="6" t="s">
        <v>46</v>
      </c>
      <c r="L25" s="7">
        <v>485000</v>
      </c>
      <c r="M25" s="7"/>
      <c r="N25" s="16">
        <v>483000</v>
      </c>
      <c r="O25" s="20">
        <f t="shared" si="0"/>
        <v>4844.0477384414808</v>
      </c>
      <c r="P25" s="6"/>
    </row>
    <row r="26" spans="1:16" ht="22" customHeight="1" x14ac:dyDescent="0.2">
      <c r="A26" s="8" t="s">
        <v>67</v>
      </c>
      <c r="B26" s="9" t="s">
        <v>68</v>
      </c>
      <c r="C26" s="9" t="s">
        <v>41</v>
      </c>
      <c r="D26" s="9" t="s">
        <v>53</v>
      </c>
      <c r="E26" s="8" t="s">
        <v>54</v>
      </c>
      <c r="F26" s="8" t="s">
        <v>44</v>
      </c>
      <c r="G26" s="12">
        <v>134.4</v>
      </c>
      <c r="H26" s="8">
        <v>241</v>
      </c>
      <c r="I26" s="8">
        <v>11.47</v>
      </c>
      <c r="J26" s="9" t="s">
        <v>55</v>
      </c>
      <c r="K26" s="9" t="s">
        <v>46</v>
      </c>
      <c r="L26" s="7">
        <v>695000</v>
      </c>
      <c r="M26" s="7"/>
      <c r="N26" s="17">
        <v>692000</v>
      </c>
      <c r="O26" s="21">
        <f t="shared" si="0"/>
        <v>5148.8095238095239</v>
      </c>
      <c r="P26" s="9"/>
    </row>
    <row r="27" spans="1:16" ht="28" customHeight="1" x14ac:dyDescent="0.2">
      <c r="A27" s="22" t="s">
        <v>69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4"/>
      <c r="N27" s="15"/>
      <c r="O27" s="15"/>
      <c r="P27" s="4"/>
    </row>
    <row r="28" spans="1:16" ht="22" customHeight="1" x14ac:dyDescent="0.2">
      <c r="A28" s="5" t="s">
        <v>19</v>
      </c>
      <c r="B28" s="6" t="s">
        <v>70</v>
      </c>
      <c r="C28" s="6" t="s">
        <v>71</v>
      </c>
      <c r="D28" s="6" t="s">
        <v>72</v>
      </c>
      <c r="E28" s="5" t="s">
        <v>54</v>
      </c>
      <c r="F28" s="5" t="s">
        <v>73</v>
      </c>
      <c r="G28" s="11">
        <v>111.49</v>
      </c>
      <c r="H28" s="5">
        <v>275</v>
      </c>
      <c r="I28" s="5">
        <v>7.5</v>
      </c>
      <c r="J28" s="6" t="s">
        <v>74</v>
      </c>
      <c r="K28" s="6" t="s">
        <v>46</v>
      </c>
      <c r="L28" s="7">
        <v>579000</v>
      </c>
      <c r="M28" s="7">
        <f t="shared" ref="M28:M35" si="1">IF(AND(L28&lt;&gt;"",G28&lt;&gt;""),L28/G28,"")</f>
        <v>5193.2908781056603</v>
      </c>
      <c r="N28" s="16">
        <v>578000</v>
      </c>
      <c r="O28" s="20">
        <f t="shared" ref="O28:O35" si="2">IF(AND(N28&lt;&gt;"",G28&lt;&gt;""),N28/G28,"")</f>
        <v>5184.3214638084137</v>
      </c>
      <c r="P28" s="6"/>
    </row>
    <row r="29" spans="1:16" ht="22" customHeight="1" x14ac:dyDescent="0.2">
      <c r="A29" s="8" t="s">
        <v>26</v>
      </c>
      <c r="B29" s="9" t="s">
        <v>76</v>
      </c>
      <c r="C29" s="9" t="s">
        <v>71</v>
      </c>
      <c r="D29" s="9" t="s">
        <v>72</v>
      </c>
      <c r="E29" s="8" t="s">
        <v>54</v>
      </c>
      <c r="F29" s="8" t="s">
        <v>73</v>
      </c>
      <c r="G29" s="12">
        <v>111.49</v>
      </c>
      <c r="H29" s="8">
        <v>268</v>
      </c>
      <c r="I29" s="8">
        <v>7.5</v>
      </c>
      <c r="J29" s="9" t="s">
        <v>74</v>
      </c>
      <c r="K29" s="6" t="s">
        <v>46</v>
      </c>
      <c r="L29" s="10">
        <v>575000</v>
      </c>
      <c r="M29" s="10">
        <f t="shared" si="1"/>
        <v>5157.4132209166746</v>
      </c>
      <c r="N29" s="17">
        <v>574000</v>
      </c>
      <c r="O29" s="21">
        <f t="shared" si="2"/>
        <v>5148.443806619428</v>
      </c>
      <c r="P29" s="9"/>
    </row>
    <row r="30" spans="1:16" ht="22" customHeight="1" x14ac:dyDescent="0.2">
      <c r="A30" s="5" t="s">
        <v>29</v>
      </c>
      <c r="B30" s="6" t="s">
        <v>77</v>
      </c>
      <c r="C30" s="6" t="s">
        <v>71</v>
      </c>
      <c r="D30" s="6" t="s">
        <v>78</v>
      </c>
      <c r="E30" s="5" t="s">
        <v>54</v>
      </c>
      <c r="F30" s="5" t="s">
        <v>73</v>
      </c>
      <c r="G30" s="11">
        <v>111.49</v>
      </c>
      <c r="H30" s="5">
        <v>268</v>
      </c>
      <c r="I30" s="5">
        <v>7.5</v>
      </c>
      <c r="J30" s="6" t="s">
        <v>79</v>
      </c>
      <c r="K30" s="6" t="s">
        <v>46</v>
      </c>
      <c r="L30" s="7">
        <v>559000</v>
      </c>
      <c r="M30" s="7">
        <f t="shared" si="1"/>
        <v>5013.9025921607317</v>
      </c>
      <c r="N30" s="16">
        <v>557000</v>
      </c>
      <c r="O30" s="20">
        <f t="shared" si="2"/>
        <v>4995.9637635662393</v>
      </c>
      <c r="P30" s="6"/>
    </row>
    <row r="31" spans="1:16" ht="22" customHeight="1" x14ac:dyDescent="0.2">
      <c r="A31" s="8" t="s">
        <v>31</v>
      </c>
      <c r="B31" s="9" t="s">
        <v>80</v>
      </c>
      <c r="C31" s="9" t="s">
        <v>71</v>
      </c>
      <c r="D31" s="9" t="s">
        <v>78</v>
      </c>
      <c r="E31" s="8" t="s">
        <v>54</v>
      </c>
      <c r="F31" s="8" t="s">
        <v>73</v>
      </c>
      <c r="G31" s="12">
        <v>111.49</v>
      </c>
      <c r="H31" s="8">
        <v>268</v>
      </c>
      <c r="I31" s="8">
        <v>7.5</v>
      </c>
      <c r="J31" s="9" t="s">
        <v>79</v>
      </c>
      <c r="K31" s="6" t="s">
        <v>46</v>
      </c>
      <c r="L31" s="10">
        <v>559000</v>
      </c>
      <c r="M31" s="10">
        <f t="shared" si="1"/>
        <v>5013.9025921607317</v>
      </c>
      <c r="N31" s="17">
        <v>557000</v>
      </c>
      <c r="O31" s="21">
        <f t="shared" si="2"/>
        <v>4995.9637635662393</v>
      </c>
      <c r="P31" s="9"/>
    </row>
    <row r="32" spans="1:16" ht="22" customHeight="1" x14ac:dyDescent="0.2">
      <c r="A32" s="5" t="s">
        <v>33</v>
      </c>
      <c r="B32" s="6" t="s">
        <v>81</v>
      </c>
      <c r="C32" s="6" t="s">
        <v>71</v>
      </c>
      <c r="D32" s="6" t="s">
        <v>78</v>
      </c>
      <c r="E32" s="5" t="s">
        <v>54</v>
      </c>
      <c r="F32" s="5" t="s">
        <v>73</v>
      </c>
      <c r="G32" s="11">
        <v>111.49</v>
      </c>
      <c r="H32" s="5">
        <v>268</v>
      </c>
      <c r="I32" s="5">
        <v>7.5</v>
      </c>
      <c r="J32" s="6" t="s">
        <v>79</v>
      </c>
      <c r="K32" s="6" t="s">
        <v>46</v>
      </c>
      <c r="L32" s="7">
        <v>559000</v>
      </c>
      <c r="M32" s="7">
        <f t="shared" si="1"/>
        <v>5013.9025921607317</v>
      </c>
      <c r="N32" s="16">
        <v>557000</v>
      </c>
      <c r="O32" s="20">
        <f t="shared" si="2"/>
        <v>4995.9637635662393</v>
      </c>
      <c r="P32" s="6"/>
    </row>
    <row r="33" spans="1:16" ht="22" customHeight="1" x14ac:dyDescent="0.2">
      <c r="A33" s="8" t="s">
        <v>35</v>
      </c>
      <c r="B33" s="9" t="s">
        <v>82</v>
      </c>
      <c r="C33" s="9" t="s">
        <v>71</v>
      </c>
      <c r="D33" s="9" t="s">
        <v>78</v>
      </c>
      <c r="E33" s="8" t="s">
        <v>54</v>
      </c>
      <c r="F33" s="8" t="s">
        <v>73</v>
      </c>
      <c r="G33" s="12">
        <v>111.49</v>
      </c>
      <c r="H33" s="8">
        <v>268</v>
      </c>
      <c r="I33" s="8">
        <v>7.5</v>
      </c>
      <c r="J33" s="9" t="s">
        <v>79</v>
      </c>
      <c r="K33" s="6" t="s">
        <v>46</v>
      </c>
      <c r="L33" s="10">
        <v>559000</v>
      </c>
      <c r="M33" s="10">
        <f t="shared" si="1"/>
        <v>5013.9025921607317</v>
      </c>
      <c r="N33" s="17">
        <v>557000</v>
      </c>
      <c r="O33" s="21">
        <f t="shared" si="2"/>
        <v>4995.9637635662393</v>
      </c>
      <c r="P33" s="9"/>
    </row>
    <row r="34" spans="1:16" ht="22" customHeight="1" x14ac:dyDescent="0.2">
      <c r="A34" s="5" t="s">
        <v>37</v>
      </c>
      <c r="B34" s="6" t="s">
        <v>83</v>
      </c>
      <c r="C34" s="6" t="s">
        <v>71</v>
      </c>
      <c r="D34" s="6" t="s">
        <v>78</v>
      </c>
      <c r="E34" s="5" t="s">
        <v>54</v>
      </c>
      <c r="F34" s="5" t="s">
        <v>73</v>
      </c>
      <c r="G34" s="11">
        <v>111.49</v>
      </c>
      <c r="H34" s="5">
        <v>268</v>
      </c>
      <c r="I34" s="5">
        <v>7.5</v>
      </c>
      <c r="J34" s="6" t="s">
        <v>79</v>
      </c>
      <c r="K34" s="6" t="s">
        <v>46</v>
      </c>
      <c r="L34" s="7">
        <v>559000</v>
      </c>
      <c r="M34" s="7">
        <f t="shared" si="1"/>
        <v>5013.9025921607317</v>
      </c>
      <c r="N34" s="16">
        <v>557000</v>
      </c>
      <c r="O34" s="20">
        <f t="shared" si="2"/>
        <v>4995.9637635662393</v>
      </c>
      <c r="P34" s="6"/>
    </row>
    <row r="35" spans="1:16" ht="22" customHeight="1" x14ac:dyDescent="0.2">
      <c r="A35" s="8" t="s">
        <v>59</v>
      </c>
      <c r="B35" s="9" t="s">
        <v>84</v>
      </c>
      <c r="C35" s="9" t="s">
        <v>71</v>
      </c>
      <c r="D35" s="9" t="s">
        <v>78</v>
      </c>
      <c r="E35" s="8" t="s">
        <v>54</v>
      </c>
      <c r="F35" s="8" t="s">
        <v>73</v>
      </c>
      <c r="G35" s="12">
        <v>111.49</v>
      </c>
      <c r="H35" s="8">
        <v>268</v>
      </c>
      <c r="I35" s="8">
        <v>7.5</v>
      </c>
      <c r="J35" s="9" t="s">
        <v>79</v>
      </c>
      <c r="K35" s="6" t="s">
        <v>46</v>
      </c>
      <c r="L35" s="10">
        <v>559000</v>
      </c>
      <c r="M35" s="10">
        <f t="shared" si="1"/>
        <v>5013.9025921607317</v>
      </c>
      <c r="N35" s="17">
        <v>557000</v>
      </c>
      <c r="O35" s="21">
        <f t="shared" si="2"/>
        <v>4995.9637635662393</v>
      </c>
      <c r="P35" s="9"/>
    </row>
    <row r="36" spans="1:16" ht="28" customHeight="1" x14ac:dyDescent="0.2">
      <c r="A36" s="22" t="s">
        <v>85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4"/>
      <c r="N36" s="15"/>
      <c r="O36" s="15"/>
      <c r="P36" s="4"/>
    </row>
    <row r="37" spans="1:16" ht="22" customHeight="1" x14ac:dyDescent="0.2">
      <c r="A37" s="5" t="s">
        <v>19</v>
      </c>
      <c r="B37" s="6" t="s">
        <v>86</v>
      </c>
      <c r="C37" s="6" t="s">
        <v>87</v>
      </c>
      <c r="D37" s="6" t="s">
        <v>53</v>
      </c>
      <c r="E37" s="5" t="s">
        <v>54</v>
      </c>
      <c r="F37" s="5" t="s">
        <v>44</v>
      </c>
      <c r="G37" s="11">
        <v>134.4</v>
      </c>
      <c r="H37" s="5">
        <v>246</v>
      </c>
      <c r="I37" s="5">
        <v>11.47</v>
      </c>
      <c r="J37" s="6" t="s">
        <v>88</v>
      </c>
      <c r="K37" s="6" t="s">
        <v>46</v>
      </c>
      <c r="L37" s="7">
        <v>689000</v>
      </c>
      <c r="M37" s="7">
        <f t="shared" ref="M37:M48" si="3">IF(AND(L37&lt;&gt;"",G37&lt;&gt;""),L37/G37,"")</f>
        <v>5126.4880952380954</v>
      </c>
      <c r="N37" s="16">
        <v>692000</v>
      </c>
      <c r="O37" s="20">
        <f t="shared" ref="O37:O48" si="4">IF(AND(N37&lt;&gt;"",G37&lt;&gt;""),N37/G37,"")</f>
        <v>5148.8095238095239</v>
      </c>
      <c r="P37" s="6"/>
    </row>
    <row r="38" spans="1:16" ht="22" customHeight="1" x14ac:dyDescent="0.2">
      <c r="A38" s="8" t="s">
        <v>26</v>
      </c>
      <c r="B38" s="9" t="s">
        <v>89</v>
      </c>
      <c r="C38" s="9" t="s">
        <v>87</v>
      </c>
      <c r="D38" s="9" t="s">
        <v>90</v>
      </c>
      <c r="E38" s="8" t="s">
        <v>29</v>
      </c>
      <c r="F38" s="8" t="s">
        <v>49</v>
      </c>
      <c r="G38" s="12">
        <v>90.17</v>
      </c>
      <c r="H38" s="8">
        <v>154</v>
      </c>
      <c r="I38" s="8">
        <v>6</v>
      </c>
      <c r="J38" s="9" t="s">
        <v>50</v>
      </c>
      <c r="K38" s="9" t="s">
        <v>46</v>
      </c>
      <c r="L38" s="10">
        <v>455000</v>
      </c>
      <c r="M38" s="10">
        <f t="shared" si="3"/>
        <v>5046.0241765553956</v>
      </c>
      <c r="N38" s="17">
        <v>455000</v>
      </c>
      <c r="O38" s="21">
        <f t="shared" si="4"/>
        <v>5046.0241765553956</v>
      </c>
      <c r="P38" s="9"/>
    </row>
    <row r="39" spans="1:16" ht="22" customHeight="1" x14ac:dyDescent="0.2">
      <c r="A39" s="5" t="s">
        <v>29</v>
      </c>
      <c r="B39" s="6" t="s">
        <v>91</v>
      </c>
      <c r="C39" s="6" t="s">
        <v>87</v>
      </c>
      <c r="D39" s="6" t="s">
        <v>90</v>
      </c>
      <c r="E39" s="5" t="s">
        <v>29</v>
      </c>
      <c r="F39" s="5" t="s">
        <v>49</v>
      </c>
      <c r="G39" s="11">
        <v>90.17</v>
      </c>
      <c r="H39" s="5">
        <v>154</v>
      </c>
      <c r="I39" s="5">
        <v>6</v>
      </c>
      <c r="J39" s="6" t="s">
        <v>50</v>
      </c>
      <c r="K39" s="6" t="s">
        <v>46</v>
      </c>
      <c r="L39" s="7">
        <v>445000</v>
      </c>
      <c r="M39" s="7">
        <f t="shared" si="3"/>
        <v>4935.1225463014307</v>
      </c>
      <c r="N39" s="16">
        <v>455000</v>
      </c>
      <c r="O39" s="20">
        <f t="shared" si="4"/>
        <v>5046.0241765553956</v>
      </c>
      <c r="P39" s="6"/>
    </row>
    <row r="40" spans="1:16" ht="22" customHeight="1" x14ac:dyDescent="0.2">
      <c r="A40" s="8" t="s">
        <v>31</v>
      </c>
      <c r="B40" s="9" t="s">
        <v>92</v>
      </c>
      <c r="C40" s="9" t="s">
        <v>87</v>
      </c>
      <c r="D40" s="9" t="s">
        <v>93</v>
      </c>
      <c r="E40" s="8" t="s">
        <v>33</v>
      </c>
      <c r="F40" s="8" t="s">
        <v>44</v>
      </c>
      <c r="G40" s="12">
        <v>133.36000000000001</v>
      </c>
      <c r="H40" s="8">
        <v>251</v>
      </c>
      <c r="I40" s="8">
        <v>11.47</v>
      </c>
      <c r="J40" s="9" t="s">
        <v>88</v>
      </c>
      <c r="K40" s="9" t="s">
        <v>46</v>
      </c>
      <c r="L40" s="10">
        <v>685000</v>
      </c>
      <c r="M40" s="10">
        <f t="shared" si="3"/>
        <v>5136.4727054589075</v>
      </c>
      <c r="N40" s="17">
        <v>687000</v>
      </c>
      <c r="O40" s="21">
        <f t="shared" si="4"/>
        <v>5151.4697060587878</v>
      </c>
      <c r="P40" s="9"/>
    </row>
    <row r="41" spans="1:16" ht="22" customHeight="1" x14ac:dyDescent="0.2">
      <c r="A41" s="5" t="s">
        <v>33</v>
      </c>
      <c r="B41" s="6" t="s">
        <v>94</v>
      </c>
      <c r="C41" s="6" t="s">
        <v>87</v>
      </c>
      <c r="D41" s="6" t="s">
        <v>90</v>
      </c>
      <c r="E41" s="5" t="s">
        <v>29</v>
      </c>
      <c r="F41" s="5" t="s">
        <v>49</v>
      </c>
      <c r="G41" s="11">
        <v>90.17</v>
      </c>
      <c r="H41" s="5">
        <v>154</v>
      </c>
      <c r="I41" s="5">
        <v>6</v>
      </c>
      <c r="J41" s="6" t="s">
        <v>50</v>
      </c>
      <c r="K41" s="6" t="s">
        <v>46</v>
      </c>
      <c r="L41" s="7">
        <v>455000</v>
      </c>
      <c r="M41" s="7">
        <f t="shared" si="3"/>
        <v>5046.0241765553956</v>
      </c>
      <c r="N41" s="16">
        <v>455000</v>
      </c>
      <c r="O41" s="20">
        <f t="shared" si="4"/>
        <v>5046.0241765553956</v>
      </c>
      <c r="P41" s="6"/>
    </row>
    <row r="42" spans="1:16" ht="22" customHeight="1" x14ac:dyDescent="0.2">
      <c r="A42" s="8" t="s">
        <v>35</v>
      </c>
      <c r="B42" s="9" t="s">
        <v>95</v>
      </c>
      <c r="C42" s="9" t="s">
        <v>87</v>
      </c>
      <c r="D42" s="9" t="s">
        <v>90</v>
      </c>
      <c r="E42" s="8" t="s">
        <v>29</v>
      </c>
      <c r="F42" s="8" t="s">
        <v>49</v>
      </c>
      <c r="G42" s="12">
        <v>90.17</v>
      </c>
      <c r="H42" s="8">
        <v>154</v>
      </c>
      <c r="I42" s="8">
        <v>6</v>
      </c>
      <c r="J42" s="9" t="s">
        <v>50</v>
      </c>
      <c r="K42" s="9" t="s">
        <v>46</v>
      </c>
      <c r="L42" s="10">
        <v>455000</v>
      </c>
      <c r="M42" s="10">
        <f t="shared" si="3"/>
        <v>5046.0241765553956</v>
      </c>
      <c r="N42" s="17">
        <v>455000</v>
      </c>
      <c r="O42" s="21">
        <f t="shared" si="4"/>
        <v>5046.0241765553956</v>
      </c>
      <c r="P42" s="9"/>
    </row>
    <row r="43" spans="1:16" ht="22" customHeight="1" x14ac:dyDescent="0.2">
      <c r="A43" s="5" t="s">
        <v>37</v>
      </c>
      <c r="B43" s="6" t="s">
        <v>96</v>
      </c>
      <c r="C43" s="6" t="s">
        <v>87</v>
      </c>
      <c r="D43" s="6" t="s">
        <v>90</v>
      </c>
      <c r="E43" s="5" t="s">
        <v>29</v>
      </c>
      <c r="F43" s="5" t="s">
        <v>49</v>
      </c>
      <c r="G43" s="11">
        <v>90.17</v>
      </c>
      <c r="H43" s="5">
        <v>154</v>
      </c>
      <c r="I43" s="5">
        <v>6</v>
      </c>
      <c r="J43" s="6" t="s">
        <v>50</v>
      </c>
      <c r="K43" s="6" t="s">
        <v>46</v>
      </c>
      <c r="L43" s="7">
        <v>455000</v>
      </c>
      <c r="M43" s="7">
        <f t="shared" si="3"/>
        <v>5046.0241765553956</v>
      </c>
      <c r="N43" s="16">
        <v>455000</v>
      </c>
      <c r="O43" s="20">
        <f t="shared" si="4"/>
        <v>5046.0241765553956</v>
      </c>
      <c r="P43" s="6"/>
    </row>
    <row r="44" spans="1:16" ht="22" customHeight="1" x14ac:dyDescent="0.2">
      <c r="A44" s="8" t="s">
        <v>59</v>
      </c>
      <c r="B44" s="9" t="s">
        <v>97</v>
      </c>
      <c r="C44" s="9" t="s">
        <v>87</v>
      </c>
      <c r="D44" s="9" t="s">
        <v>90</v>
      </c>
      <c r="E44" s="8" t="s">
        <v>29</v>
      </c>
      <c r="F44" s="8" t="s">
        <v>49</v>
      </c>
      <c r="G44" s="12">
        <v>90.17</v>
      </c>
      <c r="H44" s="8">
        <v>154</v>
      </c>
      <c r="I44" s="8">
        <v>6</v>
      </c>
      <c r="J44" s="9" t="s">
        <v>50</v>
      </c>
      <c r="K44" s="9" t="s">
        <v>46</v>
      </c>
      <c r="L44" s="10">
        <v>455000</v>
      </c>
      <c r="M44" s="10">
        <f t="shared" si="3"/>
        <v>5046.0241765553956</v>
      </c>
      <c r="N44" s="17">
        <v>455000</v>
      </c>
      <c r="O44" s="21">
        <f t="shared" si="4"/>
        <v>5046.0241765553956</v>
      </c>
      <c r="P44" s="9"/>
    </row>
    <row r="45" spans="1:16" ht="22" customHeight="1" x14ac:dyDescent="0.2">
      <c r="A45" s="5" t="s">
        <v>61</v>
      </c>
      <c r="B45" s="6" t="s">
        <v>98</v>
      </c>
      <c r="C45" s="6" t="s">
        <v>87</v>
      </c>
      <c r="D45" s="6" t="s">
        <v>53</v>
      </c>
      <c r="E45" s="5" t="s">
        <v>54</v>
      </c>
      <c r="F45" s="5" t="s">
        <v>44</v>
      </c>
      <c r="G45" s="11">
        <v>134.4</v>
      </c>
      <c r="H45" s="5">
        <v>243</v>
      </c>
      <c r="I45" s="5">
        <v>11.47</v>
      </c>
      <c r="J45" s="6" t="s">
        <v>88</v>
      </c>
      <c r="K45" s="6" t="s">
        <v>46</v>
      </c>
      <c r="L45" s="7">
        <v>689000</v>
      </c>
      <c r="M45" s="7">
        <f t="shared" si="3"/>
        <v>5126.4880952380954</v>
      </c>
      <c r="N45" s="16">
        <v>692000</v>
      </c>
      <c r="O45" s="20">
        <f t="shared" si="4"/>
        <v>5148.8095238095239</v>
      </c>
      <c r="P45" s="6"/>
    </row>
    <row r="46" spans="1:16" ht="22" customHeight="1" x14ac:dyDescent="0.2">
      <c r="A46" s="8" t="s">
        <v>63</v>
      </c>
      <c r="B46" s="9" t="s">
        <v>99</v>
      </c>
      <c r="C46" s="9" t="s">
        <v>87</v>
      </c>
      <c r="D46" s="9" t="s">
        <v>90</v>
      </c>
      <c r="E46" s="8" t="s">
        <v>29</v>
      </c>
      <c r="F46" s="8" t="s">
        <v>49</v>
      </c>
      <c r="G46" s="12">
        <v>90.17</v>
      </c>
      <c r="H46" s="8">
        <v>154</v>
      </c>
      <c r="I46" s="8">
        <v>6</v>
      </c>
      <c r="J46" s="9" t="s">
        <v>50</v>
      </c>
      <c r="K46" s="9" t="s">
        <v>46</v>
      </c>
      <c r="L46" s="10">
        <v>455000</v>
      </c>
      <c r="M46" s="10">
        <f t="shared" si="3"/>
        <v>5046.0241765553956</v>
      </c>
      <c r="N46" s="17">
        <v>455000</v>
      </c>
      <c r="O46" s="21">
        <f t="shared" si="4"/>
        <v>5046.0241765553956</v>
      </c>
      <c r="P46" s="9"/>
    </row>
    <row r="47" spans="1:16" ht="22" customHeight="1" x14ac:dyDescent="0.2">
      <c r="A47" s="5" t="s">
        <v>65</v>
      </c>
      <c r="B47" s="6" t="s">
        <v>100</v>
      </c>
      <c r="C47" s="6" t="s">
        <v>87</v>
      </c>
      <c r="D47" s="6" t="s">
        <v>90</v>
      </c>
      <c r="E47" s="5" t="s">
        <v>29</v>
      </c>
      <c r="F47" s="5" t="s">
        <v>49</v>
      </c>
      <c r="G47" s="11">
        <v>90.17</v>
      </c>
      <c r="H47" s="5">
        <v>154</v>
      </c>
      <c r="I47" s="5">
        <v>6</v>
      </c>
      <c r="J47" s="6" t="s">
        <v>50</v>
      </c>
      <c r="K47" s="6" t="s">
        <v>46</v>
      </c>
      <c r="L47" s="7">
        <v>455000</v>
      </c>
      <c r="M47" s="7">
        <f t="shared" si="3"/>
        <v>5046.0241765553956</v>
      </c>
      <c r="N47" s="16">
        <v>455000</v>
      </c>
      <c r="O47" s="20">
        <f t="shared" si="4"/>
        <v>5046.0241765553956</v>
      </c>
      <c r="P47" s="6"/>
    </row>
    <row r="48" spans="1:16" ht="22" customHeight="1" x14ac:dyDescent="0.2">
      <c r="A48" s="8" t="s">
        <v>67</v>
      </c>
      <c r="B48" s="9" t="s">
        <v>101</v>
      </c>
      <c r="C48" s="9" t="s">
        <v>87</v>
      </c>
      <c r="D48" s="9" t="s">
        <v>53</v>
      </c>
      <c r="E48" s="8" t="s">
        <v>54</v>
      </c>
      <c r="F48" s="8" t="s">
        <v>44</v>
      </c>
      <c r="G48" s="12">
        <v>134.4</v>
      </c>
      <c r="H48" s="8">
        <v>251</v>
      </c>
      <c r="I48" s="8">
        <v>11.47</v>
      </c>
      <c r="J48" s="9" t="s">
        <v>88</v>
      </c>
      <c r="K48" s="9" t="s">
        <v>46</v>
      </c>
      <c r="L48" s="10">
        <v>689000</v>
      </c>
      <c r="M48" s="10">
        <f t="shared" si="3"/>
        <v>5126.4880952380954</v>
      </c>
      <c r="N48" s="17">
        <v>692000</v>
      </c>
      <c r="O48" s="21">
        <f t="shared" si="4"/>
        <v>5148.8095238095239</v>
      </c>
      <c r="P48" s="9"/>
    </row>
    <row r="49" spans="1:16" ht="28" customHeight="1" x14ac:dyDescent="0.2">
      <c r="A49" s="22" t="s">
        <v>102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4"/>
      <c r="N49" s="15"/>
      <c r="O49" s="15"/>
      <c r="P49" s="4"/>
    </row>
    <row r="50" spans="1:16" ht="22" customHeight="1" x14ac:dyDescent="0.2">
      <c r="A50" s="5" t="s">
        <v>19</v>
      </c>
      <c r="B50" s="6" t="s">
        <v>103</v>
      </c>
      <c r="C50" s="6" t="s">
        <v>104</v>
      </c>
      <c r="D50" s="6" t="s">
        <v>72</v>
      </c>
      <c r="E50" s="5" t="s">
        <v>54</v>
      </c>
      <c r="F50" s="5" t="s">
        <v>73</v>
      </c>
      <c r="G50" s="11">
        <v>120.38</v>
      </c>
      <c r="H50" s="5">
        <v>277</v>
      </c>
      <c r="I50" s="5">
        <v>7.5</v>
      </c>
      <c r="J50" s="6" t="s">
        <v>74</v>
      </c>
      <c r="K50" s="6" t="s">
        <v>75</v>
      </c>
      <c r="L50" s="7">
        <v>615000</v>
      </c>
      <c r="M50" s="7">
        <f>IF(AND(L50&lt;&gt;"",G50&lt;&gt;""),L50/G50,"")</f>
        <v>5108.8220634656918</v>
      </c>
      <c r="N50" s="16">
        <v>614000</v>
      </c>
      <c r="O50" s="20">
        <f>IF(AND(N50&lt;&gt;"",G50&lt;&gt;""),N50/G50,"")</f>
        <v>5100.5150357202192</v>
      </c>
      <c r="P50" s="6"/>
    </row>
    <row r="51" spans="1:16" ht="22" customHeight="1" x14ac:dyDescent="0.2">
      <c r="A51" s="8" t="s">
        <v>26</v>
      </c>
      <c r="B51" s="9" t="s">
        <v>105</v>
      </c>
      <c r="C51" s="9" t="s">
        <v>104</v>
      </c>
      <c r="D51" s="9" t="s">
        <v>72</v>
      </c>
      <c r="E51" s="8" t="s">
        <v>54</v>
      </c>
      <c r="F51" s="8" t="s">
        <v>73</v>
      </c>
      <c r="G51" s="12">
        <v>120.38</v>
      </c>
      <c r="H51" s="8">
        <v>277</v>
      </c>
      <c r="I51" s="8">
        <v>7.5</v>
      </c>
      <c r="J51" s="9" t="s">
        <v>74</v>
      </c>
      <c r="K51" s="9" t="s">
        <v>75</v>
      </c>
      <c r="L51" s="10">
        <v>615000</v>
      </c>
      <c r="M51" s="10">
        <f>IF(AND(L51&lt;&gt;"",G51&lt;&gt;""),L51/G51,"")</f>
        <v>5108.8220634656918</v>
      </c>
      <c r="N51" s="17">
        <v>614000</v>
      </c>
      <c r="O51" s="21">
        <f>IF(AND(N51&lt;&gt;"",G51&lt;&gt;""),N51/G51,"")</f>
        <v>5100.5150357202192</v>
      </c>
      <c r="P51" s="9"/>
    </row>
    <row r="52" spans="1:16" ht="22" customHeight="1" x14ac:dyDescent="0.2">
      <c r="A52" s="5" t="s">
        <v>29</v>
      </c>
      <c r="B52" s="6" t="s">
        <v>106</v>
      </c>
      <c r="C52" s="6" t="s">
        <v>104</v>
      </c>
      <c r="D52" s="6" t="s">
        <v>78</v>
      </c>
      <c r="E52" s="5" t="s">
        <v>54</v>
      </c>
      <c r="F52" s="5" t="s">
        <v>73</v>
      </c>
      <c r="G52" s="11">
        <v>119.84</v>
      </c>
      <c r="H52" s="5">
        <v>277</v>
      </c>
      <c r="I52" s="5">
        <v>7.5</v>
      </c>
      <c r="J52" s="6" t="s">
        <v>107</v>
      </c>
      <c r="K52" s="6" t="s">
        <v>75</v>
      </c>
      <c r="L52" s="7">
        <v>605000</v>
      </c>
      <c r="M52" s="7">
        <f>IF(AND(L52&lt;&gt;"",G52&lt;&gt;""),L52/G52,"")</f>
        <v>5048.3978638184244</v>
      </c>
      <c r="N52" s="16">
        <v>605000</v>
      </c>
      <c r="O52" s="20">
        <f>IF(AND(N52&lt;&gt;"",G52&lt;&gt;""),N52/G52,"")</f>
        <v>5048.3978638184244</v>
      </c>
      <c r="P52" s="6"/>
    </row>
    <row r="53" spans="1:16" ht="22" customHeight="1" x14ac:dyDescent="0.2">
      <c r="A53" s="8" t="s">
        <v>31</v>
      </c>
      <c r="B53" s="9" t="s">
        <v>108</v>
      </c>
      <c r="C53" s="9" t="s">
        <v>104</v>
      </c>
      <c r="D53" s="9" t="s">
        <v>78</v>
      </c>
      <c r="E53" s="8" t="s">
        <v>54</v>
      </c>
      <c r="F53" s="8" t="s">
        <v>73</v>
      </c>
      <c r="G53" s="12">
        <v>119.84</v>
      </c>
      <c r="H53" s="8">
        <v>277</v>
      </c>
      <c r="I53" s="8">
        <v>7.5</v>
      </c>
      <c r="J53" s="9" t="s">
        <v>107</v>
      </c>
      <c r="K53" s="9" t="s">
        <v>75</v>
      </c>
      <c r="L53" s="10">
        <v>605000</v>
      </c>
      <c r="M53" s="10">
        <f>IF(AND(L53&lt;&gt;"",G53&lt;&gt;""),L53/G53,"")</f>
        <v>5048.3978638184244</v>
      </c>
      <c r="N53" s="17">
        <v>605000</v>
      </c>
      <c r="O53" s="21">
        <f>IF(AND(N53&lt;&gt;"",G53&lt;&gt;""),N53/G53,"")</f>
        <v>5048.3978638184244</v>
      </c>
      <c r="P53" s="9"/>
    </row>
  </sheetData>
  <autoFilter ref="A4:M53" xr:uid="{00000000-0009-0000-0000-000000000000}"/>
  <mergeCells count="7">
    <mergeCell ref="A49:M49"/>
    <mergeCell ref="A27:M27"/>
    <mergeCell ref="A14:M14"/>
    <mergeCell ref="A2:I2"/>
    <mergeCell ref="A5:M5"/>
    <mergeCell ref="A36:M36"/>
    <mergeCell ref="A1:I1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7D44"/>
    <pageSetUpPr fitToPage="1"/>
  </sheetPr>
  <dimension ref="A1:O38"/>
  <sheetViews>
    <sheetView showGridLines="0" topLeftCell="F1" zoomScale="153" zoomScaleNormal="153" workbookViewId="0">
      <pane ySplit="4" topLeftCell="A5" activePane="bottomLeft" state="frozen"/>
      <selection pane="bottomLeft" activeCell="K39" sqref="K39"/>
    </sheetView>
  </sheetViews>
  <sheetFormatPr baseColWidth="10" defaultColWidth="8.83203125" defaultRowHeight="15" x14ac:dyDescent="0.2"/>
  <cols>
    <col min="1" max="1" width="5.5" customWidth="1"/>
    <col min="2" max="2" width="9" customWidth="1"/>
    <col min="3" max="3" width="10" customWidth="1"/>
    <col min="4" max="4" width="13" customWidth="1"/>
    <col min="5" max="5" width="8" customWidth="1"/>
    <col min="6" max="6" width="15" customWidth="1"/>
    <col min="7" max="7" width="18" customWidth="1"/>
    <col min="8" max="8" width="20" customWidth="1"/>
    <col min="9" max="9" width="34" customWidth="1"/>
    <col min="10" max="10" width="14" customWidth="1"/>
    <col min="11" max="11" width="17" customWidth="1"/>
    <col min="12" max="12" width="13" customWidth="1"/>
    <col min="13" max="13" width="19" customWidth="1"/>
    <col min="14" max="14" width="15" customWidth="1"/>
  </cols>
  <sheetData>
    <row r="1" spans="1:15" ht="55" customHeight="1" x14ac:dyDescent="0.2">
      <c r="A1" s="27" t="s">
        <v>109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  <c r="O1" s="1"/>
    </row>
    <row r="2" spans="1:15" ht="22" customHeight="1" x14ac:dyDescent="0.2">
      <c r="A2" s="25" t="s">
        <v>110</v>
      </c>
      <c r="B2" s="26"/>
      <c r="C2" s="26"/>
      <c r="D2" s="26"/>
      <c r="E2" s="26"/>
      <c r="F2" s="26"/>
      <c r="G2" s="26"/>
      <c r="H2" s="26"/>
      <c r="I2" s="1"/>
      <c r="J2" s="1"/>
      <c r="K2" s="1"/>
      <c r="L2" s="1"/>
      <c r="O2" s="1"/>
    </row>
    <row r="3" spans="1:15" ht="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O3" s="2"/>
    </row>
    <row r="4" spans="1:15" ht="38" customHeight="1" x14ac:dyDescent="0.2">
      <c r="A4" s="3" t="s">
        <v>2</v>
      </c>
      <c r="B4" s="3" t="s">
        <v>111</v>
      </c>
      <c r="C4" s="3" t="s">
        <v>112</v>
      </c>
      <c r="D4" s="3" t="s">
        <v>5</v>
      </c>
      <c r="E4" s="3" t="s">
        <v>6</v>
      </c>
      <c r="F4" s="3" t="s">
        <v>8</v>
      </c>
      <c r="G4" s="3" t="s">
        <v>113</v>
      </c>
      <c r="H4" s="3" t="s">
        <v>114</v>
      </c>
      <c r="I4" s="3" t="s">
        <v>11</v>
      </c>
      <c r="J4" s="3" t="s">
        <v>12</v>
      </c>
      <c r="K4" s="3" t="s">
        <v>13</v>
      </c>
      <c r="L4" s="3" t="s">
        <v>14</v>
      </c>
      <c r="M4" s="14" t="s">
        <v>15</v>
      </c>
      <c r="N4" s="14" t="s">
        <v>16</v>
      </c>
      <c r="O4" s="3" t="s">
        <v>17</v>
      </c>
    </row>
    <row r="5" spans="1:15" ht="28" customHeight="1" x14ac:dyDescent="0.2">
      <c r="A5" s="22" t="s">
        <v>115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15"/>
      <c r="N5" s="15"/>
      <c r="O5" s="4"/>
    </row>
    <row r="6" spans="1:15" ht="22" customHeight="1" x14ac:dyDescent="0.2">
      <c r="A6" s="5">
        <v>1</v>
      </c>
      <c r="B6" s="5" t="s">
        <v>116</v>
      </c>
      <c r="C6" s="6" t="s">
        <v>117</v>
      </c>
      <c r="D6" s="6" t="s">
        <v>118</v>
      </c>
      <c r="E6" s="5" t="s">
        <v>119</v>
      </c>
      <c r="F6" s="11">
        <v>46.7</v>
      </c>
      <c r="G6" s="11">
        <v>12.05</v>
      </c>
      <c r="H6" s="11">
        <v>6.02</v>
      </c>
      <c r="I6" s="6" t="s">
        <v>120</v>
      </c>
      <c r="J6" s="6" t="s">
        <v>25</v>
      </c>
      <c r="K6" s="7">
        <v>355000</v>
      </c>
      <c r="L6" s="7">
        <f t="shared" ref="L6:L13" si="0">IF(AND(K6&lt;&gt;"",F6&lt;&gt;""),K6/F6,"")</f>
        <v>7601.7130620985008</v>
      </c>
      <c r="M6" s="16">
        <v>353000</v>
      </c>
      <c r="N6" s="20">
        <f t="shared" ref="N6:N13" si="1">IF(AND(M6&lt;&gt;"",F6&lt;&gt;""),M6/F6,"")</f>
        <v>7558.8865096359741</v>
      </c>
      <c r="O6" s="6"/>
    </row>
    <row r="7" spans="1:15" ht="22" customHeight="1" x14ac:dyDescent="0.2">
      <c r="A7" s="8">
        <v>2</v>
      </c>
      <c r="B7" s="8" t="s">
        <v>122</v>
      </c>
      <c r="C7" s="9" t="s">
        <v>117</v>
      </c>
      <c r="D7" s="9" t="s">
        <v>123</v>
      </c>
      <c r="E7" s="8" t="s">
        <v>29</v>
      </c>
      <c r="F7" s="12">
        <v>76.11</v>
      </c>
      <c r="G7" s="12">
        <v>17.600000000000001</v>
      </c>
      <c r="H7" s="12">
        <v>8.8000000000000007</v>
      </c>
      <c r="I7" s="9" t="s">
        <v>120</v>
      </c>
      <c r="J7" s="6" t="s">
        <v>121</v>
      </c>
      <c r="K7" s="10">
        <v>569000</v>
      </c>
      <c r="L7" s="10">
        <f t="shared" si="0"/>
        <v>7476.0215477598213</v>
      </c>
      <c r="M7" s="17">
        <v>570000</v>
      </c>
      <c r="N7" s="21">
        <f t="shared" si="1"/>
        <v>7489.1604256996452</v>
      </c>
      <c r="O7" s="9"/>
    </row>
    <row r="8" spans="1:15" ht="22" customHeight="1" x14ac:dyDescent="0.2">
      <c r="A8" s="5">
        <v>3</v>
      </c>
      <c r="B8" s="5" t="s">
        <v>124</v>
      </c>
      <c r="C8" s="6" t="s">
        <v>117</v>
      </c>
      <c r="D8" s="6" t="s">
        <v>125</v>
      </c>
      <c r="E8" s="5" t="s">
        <v>126</v>
      </c>
      <c r="F8" s="11">
        <v>91.9</v>
      </c>
      <c r="G8" s="11">
        <v>18.829999999999998</v>
      </c>
      <c r="H8" s="11">
        <v>9.41</v>
      </c>
      <c r="I8" s="6" t="s">
        <v>120</v>
      </c>
      <c r="J8" s="6" t="s">
        <v>46</v>
      </c>
      <c r="K8" s="7">
        <v>689000</v>
      </c>
      <c r="L8" s="7">
        <f t="shared" si="0"/>
        <v>7497.2796517954293</v>
      </c>
      <c r="M8" s="16">
        <v>688000</v>
      </c>
      <c r="N8" s="20">
        <f t="shared" si="1"/>
        <v>7486.3982589771485</v>
      </c>
      <c r="O8" s="6"/>
    </row>
    <row r="9" spans="1:15" ht="22" customHeight="1" x14ac:dyDescent="0.2">
      <c r="A9" s="8">
        <v>4</v>
      </c>
      <c r="B9" s="8" t="s">
        <v>127</v>
      </c>
      <c r="C9" s="9" t="s">
        <v>117</v>
      </c>
      <c r="D9" s="9" t="s">
        <v>128</v>
      </c>
      <c r="E9" s="8" t="s">
        <v>26</v>
      </c>
      <c r="F9" s="12">
        <v>75.17</v>
      </c>
      <c r="G9" s="12">
        <v>15.5</v>
      </c>
      <c r="H9" s="12">
        <v>7.75</v>
      </c>
      <c r="I9" s="9" t="s">
        <v>120</v>
      </c>
      <c r="J9" s="9" t="s">
        <v>133</v>
      </c>
      <c r="K9" s="10">
        <v>559000</v>
      </c>
      <c r="L9" s="10">
        <f t="shared" si="0"/>
        <v>7436.4773180790207</v>
      </c>
      <c r="M9" s="17">
        <v>557000</v>
      </c>
      <c r="N9" s="21">
        <f t="shared" si="1"/>
        <v>7409.8709591592387</v>
      </c>
      <c r="O9" s="9"/>
    </row>
    <row r="10" spans="1:15" ht="22" customHeight="1" x14ac:dyDescent="0.2">
      <c r="A10" s="5">
        <v>5</v>
      </c>
      <c r="B10" s="5" t="s">
        <v>130</v>
      </c>
      <c r="C10" s="6" t="s">
        <v>117</v>
      </c>
      <c r="D10" s="6" t="s">
        <v>128</v>
      </c>
      <c r="E10" s="5" t="s">
        <v>26</v>
      </c>
      <c r="F10" s="11">
        <v>75.180000000000007</v>
      </c>
      <c r="G10" s="11">
        <v>15.5</v>
      </c>
      <c r="H10" s="11">
        <v>7.75</v>
      </c>
      <c r="I10" s="6" t="s">
        <v>120</v>
      </c>
      <c r="J10" s="6" t="s">
        <v>133</v>
      </c>
      <c r="K10" s="7">
        <v>539000</v>
      </c>
      <c r="L10" s="7">
        <f t="shared" si="0"/>
        <v>7169.4599627560519</v>
      </c>
      <c r="M10" s="16">
        <v>536000</v>
      </c>
      <c r="N10" s="20">
        <f t="shared" si="1"/>
        <v>7129.5557329076873</v>
      </c>
      <c r="O10" s="6"/>
    </row>
    <row r="11" spans="1:15" ht="22" customHeight="1" x14ac:dyDescent="0.2">
      <c r="A11" s="8">
        <v>6</v>
      </c>
      <c r="B11" s="8" t="s">
        <v>132</v>
      </c>
      <c r="C11" s="9" t="s">
        <v>117</v>
      </c>
      <c r="D11" s="9" t="s">
        <v>125</v>
      </c>
      <c r="E11" s="8" t="s">
        <v>126</v>
      </c>
      <c r="F11" s="12">
        <v>91.91</v>
      </c>
      <c r="G11" s="12">
        <v>18.829999999999998</v>
      </c>
      <c r="H11" s="12">
        <v>9.42</v>
      </c>
      <c r="I11" s="9" t="s">
        <v>120</v>
      </c>
      <c r="J11" s="9" t="s">
        <v>131</v>
      </c>
      <c r="K11" s="10">
        <v>649000</v>
      </c>
      <c r="L11" s="10">
        <f t="shared" si="0"/>
        <v>7061.2555761070616</v>
      </c>
      <c r="M11" s="17">
        <v>648000</v>
      </c>
      <c r="N11" s="21">
        <f t="shared" si="1"/>
        <v>7050.3753672070507</v>
      </c>
      <c r="O11" s="9"/>
    </row>
    <row r="12" spans="1:15" ht="22" customHeight="1" x14ac:dyDescent="0.2">
      <c r="A12" s="5">
        <v>7</v>
      </c>
      <c r="B12" s="5" t="s">
        <v>134</v>
      </c>
      <c r="C12" s="6" t="s">
        <v>117</v>
      </c>
      <c r="D12" s="6" t="s">
        <v>123</v>
      </c>
      <c r="E12" s="5" t="s">
        <v>29</v>
      </c>
      <c r="F12" s="11">
        <v>76.11</v>
      </c>
      <c r="G12" s="11">
        <v>17.600000000000001</v>
      </c>
      <c r="H12" s="11">
        <v>8.8000000000000007</v>
      </c>
      <c r="I12" s="6" t="s">
        <v>120</v>
      </c>
      <c r="J12" s="6" t="s">
        <v>209</v>
      </c>
      <c r="K12" s="7">
        <v>539000</v>
      </c>
      <c r="L12" s="7">
        <f t="shared" si="0"/>
        <v>7081.855209565103</v>
      </c>
      <c r="M12" s="16">
        <v>537000</v>
      </c>
      <c r="N12" s="20">
        <f t="shared" si="1"/>
        <v>7055.5774536854551</v>
      </c>
      <c r="O12" s="6"/>
    </row>
    <row r="13" spans="1:15" ht="22" customHeight="1" x14ac:dyDescent="0.2">
      <c r="A13" s="8">
        <v>8</v>
      </c>
      <c r="B13" s="8" t="s">
        <v>135</v>
      </c>
      <c r="C13" s="9" t="s">
        <v>117</v>
      </c>
      <c r="D13" s="9" t="s">
        <v>118</v>
      </c>
      <c r="E13" s="8" t="s">
        <v>119</v>
      </c>
      <c r="F13" s="12">
        <v>46.7</v>
      </c>
      <c r="G13" s="12">
        <v>12.05</v>
      </c>
      <c r="H13" s="12">
        <v>6.03</v>
      </c>
      <c r="I13" s="9" t="s">
        <v>120</v>
      </c>
      <c r="J13" s="9" t="s">
        <v>210</v>
      </c>
      <c r="K13" s="10">
        <v>335000</v>
      </c>
      <c r="L13" s="10">
        <f t="shared" si="0"/>
        <v>7173.4475374732328</v>
      </c>
      <c r="M13" s="17">
        <v>333000</v>
      </c>
      <c r="N13" s="21">
        <f t="shared" si="1"/>
        <v>7130.6209850107061</v>
      </c>
      <c r="O13" s="9"/>
    </row>
    <row r="14" spans="1:15" ht="28" customHeight="1" x14ac:dyDescent="0.2">
      <c r="A14" s="22" t="s">
        <v>137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15"/>
      <c r="N14" s="15"/>
      <c r="O14" s="4"/>
    </row>
    <row r="15" spans="1:15" ht="22" customHeight="1" x14ac:dyDescent="0.2">
      <c r="A15" s="5">
        <v>9</v>
      </c>
      <c r="B15" s="5" t="s">
        <v>138</v>
      </c>
      <c r="C15" s="6" t="s">
        <v>139</v>
      </c>
      <c r="D15" s="6" t="s">
        <v>118</v>
      </c>
      <c r="E15" s="5" t="s">
        <v>119</v>
      </c>
      <c r="F15" s="11">
        <v>43.2</v>
      </c>
      <c r="G15" s="11">
        <v>7.7</v>
      </c>
      <c r="H15" s="11">
        <v>3.85</v>
      </c>
      <c r="I15" s="6" t="s">
        <v>140</v>
      </c>
      <c r="J15" s="6" t="s">
        <v>210</v>
      </c>
      <c r="K15" s="7">
        <v>309000</v>
      </c>
      <c r="L15" s="7">
        <f t="shared" ref="L15:L22" si="2">IF(AND(K15&lt;&gt;"",F15&lt;&gt;""),K15/F15,"")</f>
        <v>7152.7777777777774</v>
      </c>
      <c r="M15" s="16">
        <v>308000</v>
      </c>
      <c r="N15" s="20">
        <f t="shared" ref="N15:N22" si="3">IF(AND(M15&lt;&gt;"",F15&lt;&gt;""),M15/F15,"")</f>
        <v>7129.6296296296296</v>
      </c>
      <c r="O15" s="6"/>
    </row>
    <row r="16" spans="1:15" ht="22" customHeight="1" x14ac:dyDescent="0.2">
      <c r="A16" s="8">
        <v>10</v>
      </c>
      <c r="B16" s="8" t="s">
        <v>141</v>
      </c>
      <c r="C16" s="9" t="s">
        <v>139</v>
      </c>
      <c r="D16" s="9" t="s">
        <v>123</v>
      </c>
      <c r="E16" s="8" t="s">
        <v>29</v>
      </c>
      <c r="F16" s="12">
        <v>71.16</v>
      </c>
      <c r="G16" s="12">
        <v>7.7</v>
      </c>
      <c r="H16" s="12">
        <v>3.85</v>
      </c>
      <c r="I16" s="9" t="s">
        <v>140</v>
      </c>
      <c r="J16" s="9" t="s">
        <v>211</v>
      </c>
      <c r="K16" s="10">
        <v>509000</v>
      </c>
      <c r="L16" s="10">
        <f t="shared" si="2"/>
        <v>7152.8948847667234</v>
      </c>
      <c r="M16" s="17">
        <v>503000</v>
      </c>
      <c r="N16" s="21">
        <f t="shared" si="3"/>
        <v>7068.577852726251</v>
      </c>
      <c r="O16" s="9"/>
    </row>
    <row r="17" spans="1:15" ht="22" customHeight="1" x14ac:dyDescent="0.2">
      <c r="A17" s="5">
        <v>11</v>
      </c>
      <c r="B17" s="5" t="s">
        <v>142</v>
      </c>
      <c r="C17" s="6" t="s">
        <v>139</v>
      </c>
      <c r="D17" s="6" t="s">
        <v>125</v>
      </c>
      <c r="E17" s="5" t="s">
        <v>126</v>
      </c>
      <c r="F17" s="11">
        <v>86.33</v>
      </c>
      <c r="G17" s="11">
        <v>7.7</v>
      </c>
      <c r="H17" s="11">
        <v>3.85</v>
      </c>
      <c r="I17" s="6" t="s">
        <v>140</v>
      </c>
      <c r="J17" s="6" t="s">
        <v>46</v>
      </c>
      <c r="K17" s="7">
        <v>615000</v>
      </c>
      <c r="L17" s="7">
        <f t="shared" si="2"/>
        <v>7123.8271747943936</v>
      </c>
      <c r="M17" s="16">
        <v>611000</v>
      </c>
      <c r="N17" s="20">
        <f t="shared" si="3"/>
        <v>7077.4933395111784</v>
      </c>
      <c r="O17" s="6"/>
    </row>
    <row r="18" spans="1:15" ht="22" customHeight="1" x14ac:dyDescent="0.2">
      <c r="A18" s="8">
        <v>12</v>
      </c>
      <c r="B18" s="8" t="s">
        <v>143</v>
      </c>
      <c r="C18" s="9" t="s">
        <v>139</v>
      </c>
      <c r="D18" s="9" t="s">
        <v>128</v>
      </c>
      <c r="E18" s="8" t="s">
        <v>26</v>
      </c>
      <c r="F18" s="12">
        <v>79.849999999999994</v>
      </c>
      <c r="G18" s="12">
        <v>7.7</v>
      </c>
      <c r="H18" s="12">
        <v>3.85</v>
      </c>
      <c r="I18" s="9" t="s">
        <v>140</v>
      </c>
      <c r="J18" s="9" t="s">
        <v>133</v>
      </c>
      <c r="K18" s="10">
        <v>559000</v>
      </c>
      <c r="L18" s="10">
        <f t="shared" si="2"/>
        <v>7000.6261740763939</v>
      </c>
      <c r="M18" s="17">
        <v>559000</v>
      </c>
      <c r="N18" s="21">
        <f t="shared" si="3"/>
        <v>7000.6261740763939</v>
      </c>
      <c r="O18" s="9"/>
    </row>
    <row r="19" spans="1:15" ht="22" customHeight="1" x14ac:dyDescent="0.2">
      <c r="A19" s="5">
        <v>13</v>
      </c>
      <c r="B19" s="5" t="s">
        <v>144</v>
      </c>
      <c r="C19" s="6" t="s">
        <v>139</v>
      </c>
      <c r="D19" s="6" t="s">
        <v>128</v>
      </c>
      <c r="E19" s="5" t="s">
        <v>26</v>
      </c>
      <c r="F19" s="11">
        <v>79.849999999999994</v>
      </c>
      <c r="G19" s="11">
        <v>7.7</v>
      </c>
      <c r="H19" s="11">
        <v>3.85</v>
      </c>
      <c r="I19" s="6" t="s">
        <v>140</v>
      </c>
      <c r="J19" s="6" t="s">
        <v>133</v>
      </c>
      <c r="K19" s="7">
        <v>539000</v>
      </c>
      <c r="L19" s="7">
        <f t="shared" si="2"/>
        <v>6750.1565435190987</v>
      </c>
      <c r="M19" s="16">
        <v>537000</v>
      </c>
      <c r="N19" s="20">
        <f t="shared" si="3"/>
        <v>6725.1095804633696</v>
      </c>
      <c r="O19" s="6"/>
    </row>
    <row r="20" spans="1:15" ht="22" customHeight="1" x14ac:dyDescent="0.2">
      <c r="A20" s="8">
        <v>14</v>
      </c>
      <c r="B20" s="8" t="s">
        <v>145</v>
      </c>
      <c r="C20" s="9" t="s">
        <v>139</v>
      </c>
      <c r="D20" s="9" t="s">
        <v>125</v>
      </c>
      <c r="E20" s="8" t="s">
        <v>126</v>
      </c>
      <c r="F20" s="12">
        <v>86.33</v>
      </c>
      <c r="G20" s="12">
        <v>7.7</v>
      </c>
      <c r="H20" s="12">
        <v>3.85</v>
      </c>
      <c r="I20" s="9" t="s">
        <v>140</v>
      </c>
      <c r="J20" s="9" t="s">
        <v>131</v>
      </c>
      <c r="K20" s="10">
        <v>575000</v>
      </c>
      <c r="L20" s="10">
        <f t="shared" si="2"/>
        <v>6660.488821962238</v>
      </c>
      <c r="M20" s="17">
        <v>575000</v>
      </c>
      <c r="N20" s="21">
        <f t="shared" si="3"/>
        <v>6660.488821962238</v>
      </c>
      <c r="O20" s="9"/>
    </row>
    <row r="21" spans="1:15" ht="22" customHeight="1" x14ac:dyDescent="0.2">
      <c r="A21" s="5">
        <v>15</v>
      </c>
      <c r="B21" s="5" t="s">
        <v>146</v>
      </c>
      <c r="C21" s="6" t="s">
        <v>139</v>
      </c>
      <c r="D21" s="6" t="s">
        <v>123</v>
      </c>
      <c r="E21" s="5" t="s">
        <v>29</v>
      </c>
      <c r="F21" s="11">
        <v>71.150000000000006</v>
      </c>
      <c r="G21" s="11">
        <v>7.7</v>
      </c>
      <c r="H21" s="11">
        <v>3.85</v>
      </c>
      <c r="I21" s="6" t="s">
        <v>140</v>
      </c>
      <c r="J21" s="6" t="s">
        <v>129</v>
      </c>
      <c r="K21" s="7">
        <v>475000</v>
      </c>
      <c r="L21" s="7">
        <f t="shared" si="2"/>
        <v>6676.0365425158116</v>
      </c>
      <c r="M21" s="16">
        <v>474000</v>
      </c>
      <c r="N21" s="20">
        <f t="shared" si="3"/>
        <v>6661.9817287420938</v>
      </c>
      <c r="O21" s="6"/>
    </row>
    <row r="22" spans="1:15" ht="22" customHeight="1" x14ac:dyDescent="0.2">
      <c r="A22" s="8">
        <v>16</v>
      </c>
      <c r="B22" s="8" t="s">
        <v>147</v>
      </c>
      <c r="C22" s="9" t="s">
        <v>139</v>
      </c>
      <c r="D22" s="9" t="s">
        <v>118</v>
      </c>
      <c r="E22" s="8" t="s">
        <v>119</v>
      </c>
      <c r="F22" s="12">
        <v>43.19</v>
      </c>
      <c r="G22" s="12">
        <v>7.7</v>
      </c>
      <c r="H22" s="12">
        <v>3.85</v>
      </c>
      <c r="I22" s="9" t="s">
        <v>140</v>
      </c>
      <c r="J22" s="9" t="s">
        <v>210</v>
      </c>
      <c r="K22" s="10">
        <v>295000</v>
      </c>
      <c r="L22" s="10">
        <f t="shared" si="2"/>
        <v>6830.2847881454045</v>
      </c>
      <c r="M22" s="17">
        <v>291000</v>
      </c>
      <c r="N22" s="21">
        <f t="shared" si="3"/>
        <v>6737.6707571197039</v>
      </c>
      <c r="O22" s="9"/>
    </row>
    <row r="23" spans="1:15" ht="28" customHeight="1" x14ac:dyDescent="0.2">
      <c r="A23" s="22" t="s">
        <v>148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4"/>
      <c r="M23" s="15"/>
      <c r="N23" s="15"/>
      <c r="O23" s="4"/>
    </row>
    <row r="24" spans="1:15" ht="22" customHeight="1" x14ac:dyDescent="0.2">
      <c r="A24" s="5">
        <v>17</v>
      </c>
      <c r="B24" s="5" t="s">
        <v>149</v>
      </c>
      <c r="C24" s="6" t="s">
        <v>150</v>
      </c>
      <c r="D24" s="6" t="s">
        <v>118</v>
      </c>
      <c r="E24" s="5" t="s">
        <v>119</v>
      </c>
      <c r="F24" s="11">
        <v>43.2</v>
      </c>
      <c r="G24" s="11">
        <v>7.7</v>
      </c>
      <c r="H24" s="11">
        <v>3.85</v>
      </c>
      <c r="I24" s="6" t="s">
        <v>140</v>
      </c>
      <c r="J24" s="6" t="s">
        <v>210</v>
      </c>
      <c r="K24" s="7">
        <v>315000</v>
      </c>
      <c r="L24" s="7">
        <f t="shared" ref="L24:L31" si="4">IF(AND(K24&lt;&gt;"",F24&lt;&gt;""),K24/F24,"")</f>
        <v>7291.6666666666661</v>
      </c>
      <c r="M24" s="16">
        <v>313000</v>
      </c>
      <c r="N24" s="20">
        <f t="shared" ref="N24:N31" si="5">IF(AND(M24&lt;&gt;"",F24&lt;&gt;""),M24/F24,"")</f>
        <v>7245.3703703703695</v>
      </c>
      <c r="O24" s="6"/>
    </row>
    <row r="25" spans="1:15" ht="22" customHeight="1" x14ac:dyDescent="0.2">
      <c r="A25" s="8">
        <v>18</v>
      </c>
      <c r="B25" s="8" t="s">
        <v>151</v>
      </c>
      <c r="C25" s="9" t="s">
        <v>150</v>
      </c>
      <c r="D25" s="9" t="s">
        <v>123</v>
      </c>
      <c r="E25" s="8" t="s">
        <v>29</v>
      </c>
      <c r="F25" s="12">
        <v>71.16</v>
      </c>
      <c r="G25" s="12">
        <v>7.7</v>
      </c>
      <c r="H25" s="12">
        <v>3.85</v>
      </c>
      <c r="I25" s="9" t="s">
        <v>140</v>
      </c>
      <c r="J25" s="9" t="s">
        <v>211</v>
      </c>
      <c r="K25" s="10">
        <v>515000</v>
      </c>
      <c r="L25" s="10">
        <f t="shared" si="4"/>
        <v>7237.2119168071958</v>
      </c>
      <c r="M25" s="17">
        <v>511000</v>
      </c>
      <c r="N25" s="21">
        <f t="shared" si="5"/>
        <v>7181.0005621135469</v>
      </c>
      <c r="O25" s="9"/>
    </row>
    <row r="26" spans="1:15" ht="22" customHeight="1" x14ac:dyDescent="0.2">
      <c r="A26" s="5">
        <v>19</v>
      </c>
      <c r="B26" s="5" t="s">
        <v>152</v>
      </c>
      <c r="C26" s="6" t="s">
        <v>150</v>
      </c>
      <c r="D26" s="6" t="s">
        <v>125</v>
      </c>
      <c r="E26" s="5" t="s">
        <v>126</v>
      </c>
      <c r="F26" s="11">
        <v>86.5</v>
      </c>
      <c r="G26" s="11">
        <v>7.7</v>
      </c>
      <c r="H26" s="11">
        <v>3.85</v>
      </c>
      <c r="I26" s="6" t="s">
        <v>140</v>
      </c>
      <c r="J26" s="6" t="s">
        <v>46</v>
      </c>
      <c r="K26" s="7">
        <v>625000</v>
      </c>
      <c r="L26" s="7">
        <f t="shared" si="4"/>
        <v>7225.4335260115604</v>
      </c>
      <c r="M26" s="16">
        <v>621000</v>
      </c>
      <c r="N26" s="20">
        <f t="shared" si="5"/>
        <v>7179.1907514450868</v>
      </c>
      <c r="O26" s="6"/>
    </row>
    <row r="27" spans="1:15" ht="22" customHeight="1" x14ac:dyDescent="0.2">
      <c r="A27" s="8">
        <v>20</v>
      </c>
      <c r="B27" s="8" t="s">
        <v>153</v>
      </c>
      <c r="C27" s="9" t="s">
        <v>150</v>
      </c>
      <c r="D27" s="9" t="s">
        <v>128</v>
      </c>
      <c r="E27" s="8" t="s">
        <v>26</v>
      </c>
      <c r="F27" s="12">
        <v>79.97</v>
      </c>
      <c r="G27" s="12">
        <v>7.7</v>
      </c>
      <c r="H27" s="12">
        <v>3.85</v>
      </c>
      <c r="I27" s="9" t="s">
        <v>140</v>
      </c>
      <c r="J27" s="9" t="s">
        <v>133</v>
      </c>
      <c r="K27" s="10">
        <v>569000</v>
      </c>
      <c r="L27" s="10">
        <f t="shared" si="4"/>
        <v>7115.1681880705264</v>
      </c>
      <c r="M27" s="17">
        <v>568000</v>
      </c>
      <c r="N27" s="21">
        <f t="shared" si="5"/>
        <v>7102.663498812055</v>
      </c>
      <c r="O27" s="9"/>
    </row>
    <row r="28" spans="1:15" ht="22" customHeight="1" x14ac:dyDescent="0.2">
      <c r="A28" s="5">
        <v>21</v>
      </c>
      <c r="B28" s="5" t="s">
        <v>154</v>
      </c>
      <c r="C28" s="6" t="s">
        <v>150</v>
      </c>
      <c r="D28" s="6" t="s">
        <v>128</v>
      </c>
      <c r="E28" s="5" t="s">
        <v>26</v>
      </c>
      <c r="F28" s="11">
        <v>79.97</v>
      </c>
      <c r="G28" s="11">
        <v>7.7</v>
      </c>
      <c r="H28" s="11">
        <v>3.85</v>
      </c>
      <c r="I28" s="6" t="s">
        <v>140</v>
      </c>
      <c r="J28" s="6" t="s">
        <v>133</v>
      </c>
      <c r="K28" s="7">
        <v>549000</v>
      </c>
      <c r="L28" s="7">
        <f t="shared" si="4"/>
        <v>6865.0744029010884</v>
      </c>
      <c r="M28" s="16">
        <v>546000</v>
      </c>
      <c r="N28" s="20">
        <f t="shared" si="5"/>
        <v>6827.5603351256723</v>
      </c>
      <c r="O28" s="6"/>
    </row>
    <row r="29" spans="1:15" ht="22" customHeight="1" x14ac:dyDescent="0.2">
      <c r="A29" s="8">
        <v>22</v>
      </c>
      <c r="B29" s="8" t="s">
        <v>155</v>
      </c>
      <c r="C29" s="9" t="s">
        <v>150</v>
      </c>
      <c r="D29" s="9" t="s">
        <v>125</v>
      </c>
      <c r="E29" s="8" t="s">
        <v>126</v>
      </c>
      <c r="F29" s="12">
        <v>86.5</v>
      </c>
      <c r="G29" s="12">
        <v>7.7</v>
      </c>
      <c r="H29" s="12">
        <v>3.85</v>
      </c>
      <c r="I29" s="9" t="s">
        <v>140</v>
      </c>
      <c r="J29" s="9" t="s">
        <v>131</v>
      </c>
      <c r="K29" s="10">
        <v>585000</v>
      </c>
      <c r="L29" s="10">
        <f t="shared" si="4"/>
        <v>6763.0057803468208</v>
      </c>
      <c r="M29" s="17">
        <v>585000</v>
      </c>
      <c r="N29" s="21">
        <f t="shared" si="5"/>
        <v>6763.0057803468208</v>
      </c>
      <c r="O29" s="9"/>
    </row>
    <row r="30" spans="1:15" ht="22" customHeight="1" x14ac:dyDescent="0.2">
      <c r="A30" s="5">
        <v>23</v>
      </c>
      <c r="B30" s="5" t="s">
        <v>156</v>
      </c>
      <c r="C30" s="6" t="s">
        <v>150</v>
      </c>
      <c r="D30" s="6" t="s">
        <v>123</v>
      </c>
      <c r="E30" s="5" t="s">
        <v>29</v>
      </c>
      <c r="F30" s="11">
        <v>71.150000000000006</v>
      </c>
      <c r="G30" s="11">
        <v>7.7</v>
      </c>
      <c r="H30" s="11">
        <v>3.85</v>
      </c>
      <c r="I30" s="6" t="s">
        <v>140</v>
      </c>
      <c r="J30" s="6" t="s">
        <v>129</v>
      </c>
      <c r="K30" s="7">
        <v>485000</v>
      </c>
      <c r="L30" s="7">
        <f t="shared" si="4"/>
        <v>6816.5846802529859</v>
      </c>
      <c r="M30" s="16">
        <v>481000</v>
      </c>
      <c r="N30" s="20">
        <f t="shared" si="5"/>
        <v>6760.3654251581165</v>
      </c>
      <c r="O30" s="6"/>
    </row>
    <row r="31" spans="1:15" ht="22" customHeight="1" x14ac:dyDescent="0.2">
      <c r="A31" s="8">
        <v>24</v>
      </c>
      <c r="B31" s="8" t="s">
        <v>157</v>
      </c>
      <c r="C31" s="9" t="s">
        <v>150</v>
      </c>
      <c r="D31" s="9" t="s">
        <v>118</v>
      </c>
      <c r="E31" s="8" t="s">
        <v>119</v>
      </c>
      <c r="F31" s="12">
        <v>43.2</v>
      </c>
      <c r="G31" s="12">
        <v>7.7</v>
      </c>
      <c r="H31" s="12">
        <v>3.85</v>
      </c>
      <c r="I31" s="9" t="s">
        <v>140</v>
      </c>
      <c r="J31" s="9" t="s">
        <v>210</v>
      </c>
      <c r="K31" s="10">
        <v>295000</v>
      </c>
      <c r="L31" s="10">
        <f t="shared" si="4"/>
        <v>6828.7037037037035</v>
      </c>
      <c r="M31" s="17">
        <v>295000</v>
      </c>
      <c r="N31" s="21">
        <f t="shared" si="5"/>
        <v>6828.7037037037035</v>
      </c>
      <c r="O31" s="9"/>
    </row>
    <row r="32" spans="1:15" ht="28" customHeight="1" x14ac:dyDescent="0.2">
      <c r="A32" s="22" t="s">
        <v>158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  <c r="M32" s="15"/>
      <c r="N32" s="15"/>
      <c r="O32" s="4"/>
    </row>
    <row r="33" spans="1:15" ht="22" customHeight="1" x14ac:dyDescent="0.2">
      <c r="A33" s="5">
        <v>25</v>
      </c>
      <c r="B33" s="5" t="s">
        <v>159</v>
      </c>
      <c r="C33" s="6" t="s">
        <v>160</v>
      </c>
      <c r="D33" s="6" t="s">
        <v>118</v>
      </c>
      <c r="E33" s="5" t="s">
        <v>119</v>
      </c>
      <c r="F33" s="11">
        <v>43.2</v>
      </c>
      <c r="G33" s="11">
        <v>7.7</v>
      </c>
      <c r="H33" s="11">
        <v>3.85</v>
      </c>
      <c r="I33" s="6" t="s">
        <v>140</v>
      </c>
      <c r="J33" s="6" t="s">
        <v>210</v>
      </c>
      <c r="K33" s="7">
        <v>365000</v>
      </c>
      <c r="L33" s="7">
        <f t="shared" ref="L33:L38" si="6">IF(AND(K33&lt;&gt;"",F33&lt;&gt;""),K33/F33,"")</f>
        <v>8449.074074074073</v>
      </c>
      <c r="M33" s="16">
        <v>363000</v>
      </c>
      <c r="N33" s="20">
        <f t="shared" ref="N33:N38" si="7">IF(AND(M33&lt;&gt;"",F33&lt;&gt;""),M33/F33,"")</f>
        <v>8402.7777777777774</v>
      </c>
      <c r="O33" s="6"/>
    </row>
    <row r="34" spans="1:15" ht="22" customHeight="1" x14ac:dyDescent="0.2">
      <c r="A34" s="8">
        <v>26</v>
      </c>
      <c r="B34" s="8" t="s">
        <v>161</v>
      </c>
      <c r="C34" s="9" t="s">
        <v>160</v>
      </c>
      <c r="D34" s="9" t="s">
        <v>123</v>
      </c>
      <c r="E34" s="8" t="s">
        <v>29</v>
      </c>
      <c r="F34" s="12">
        <v>71.17</v>
      </c>
      <c r="G34" s="12">
        <v>7.7</v>
      </c>
      <c r="H34" s="12">
        <v>3.85</v>
      </c>
      <c r="I34" s="9" t="s">
        <v>140</v>
      </c>
      <c r="J34" s="9" t="s">
        <v>211</v>
      </c>
      <c r="K34" s="10">
        <v>595000</v>
      </c>
      <c r="L34" s="10">
        <f t="shared" si="6"/>
        <v>8360.2641562456083</v>
      </c>
      <c r="M34" s="17">
        <v>592000</v>
      </c>
      <c r="N34" s="21">
        <f t="shared" si="7"/>
        <v>8318.1115638611773</v>
      </c>
      <c r="O34" s="9"/>
    </row>
    <row r="35" spans="1:15" ht="22" customHeight="1" x14ac:dyDescent="0.2">
      <c r="A35" s="5">
        <v>27</v>
      </c>
      <c r="B35" s="5" t="s">
        <v>162</v>
      </c>
      <c r="C35" s="6" t="s">
        <v>160</v>
      </c>
      <c r="D35" s="6" t="s">
        <v>128</v>
      </c>
      <c r="E35" s="5" t="s">
        <v>26</v>
      </c>
      <c r="F35" s="11">
        <v>98.92</v>
      </c>
      <c r="G35" s="11">
        <v>32.69</v>
      </c>
      <c r="H35" s="11">
        <v>16.350000000000001</v>
      </c>
      <c r="I35" s="6" t="s">
        <v>163</v>
      </c>
      <c r="J35" s="6" t="s">
        <v>136</v>
      </c>
      <c r="K35" s="7">
        <v>835000</v>
      </c>
      <c r="L35" s="7">
        <f t="shared" si="6"/>
        <v>8441.1645774363114</v>
      </c>
      <c r="M35" s="16">
        <v>835000</v>
      </c>
      <c r="N35" s="20">
        <f t="shared" si="7"/>
        <v>8441.1645774363114</v>
      </c>
      <c r="O35" s="6"/>
    </row>
    <row r="36" spans="1:15" ht="22" customHeight="1" x14ac:dyDescent="0.2">
      <c r="A36" s="8">
        <v>28</v>
      </c>
      <c r="B36" s="8" t="s">
        <v>164</v>
      </c>
      <c r="C36" s="9" t="s">
        <v>160</v>
      </c>
      <c r="D36" s="9" t="s">
        <v>128</v>
      </c>
      <c r="E36" s="8" t="s">
        <v>26</v>
      </c>
      <c r="F36" s="12">
        <v>98.79</v>
      </c>
      <c r="G36" s="12">
        <v>32.700000000000003</v>
      </c>
      <c r="H36" s="12">
        <v>16.350000000000001</v>
      </c>
      <c r="I36" s="9" t="s">
        <v>163</v>
      </c>
      <c r="J36" s="9" t="s">
        <v>131</v>
      </c>
      <c r="K36" s="10">
        <v>805000</v>
      </c>
      <c r="L36" s="10">
        <f t="shared" si="6"/>
        <v>8148.5980362384853</v>
      </c>
      <c r="M36" s="17">
        <v>802000</v>
      </c>
      <c r="N36" s="21">
        <f t="shared" si="7"/>
        <v>8118.2305901407017</v>
      </c>
      <c r="O36" s="9"/>
    </row>
    <row r="37" spans="1:15" ht="22" customHeight="1" x14ac:dyDescent="0.2">
      <c r="A37" s="5">
        <v>29</v>
      </c>
      <c r="B37" s="5" t="s">
        <v>165</v>
      </c>
      <c r="C37" s="6" t="s">
        <v>160</v>
      </c>
      <c r="D37" s="6" t="s">
        <v>123</v>
      </c>
      <c r="E37" s="5" t="s">
        <v>29</v>
      </c>
      <c r="F37" s="11">
        <v>71.17</v>
      </c>
      <c r="G37" s="11">
        <v>7.7</v>
      </c>
      <c r="H37" s="11">
        <v>3.85</v>
      </c>
      <c r="I37" s="6" t="s">
        <v>140</v>
      </c>
      <c r="J37" s="6" t="s">
        <v>209</v>
      </c>
      <c r="K37" s="7">
        <v>559000</v>
      </c>
      <c r="L37" s="7">
        <f t="shared" si="6"/>
        <v>7854.4330476324294</v>
      </c>
      <c r="M37" s="16">
        <v>558000</v>
      </c>
      <c r="N37" s="20">
        <f t="shared" si="7"/>
        <v>7840.3821835042854</v>
      </c>
      <c r="O37" s="6"/>
    </row>
    <row r="38" spans="1:15" ht="22" customHeight="1" x14ac:dyDescent="0.2">
      <c r="A38" s="8">
        <v>30</v>
      </c>
      <c r="B38" s="8" t="s">
        <v>166</v>
      </c>
      <c r="C38" s="9" t="s">
        <v>160</v>
      </c>
      <c r="D38" s="9" t="s">
        <v>118</v>
      </c>
      <c r="E38" s="8" t="s">
        <v>119</v>
      </c>
      <c r="F38" s="12">
        <v>43.2</v>
      </c>
      <c r="G38" s="12">
        <v>7.7</v>
      </c>
      <c r="H38" s="12">
        <v>3.85</v>
      </c>
      <c r="I38" s="9" t="s">
        <v>140</v>
      </c>
      <c r="J38" s="9" t="s">
        <v>210</v>
      </c>
      <c r="K38" s="10">
        <v>345000</v>
      </c>
      <c r="L38" s="10">
        <f t="shared" si="6"/>
        <v>7986.1111111111104</v>
      </c>
      <c r="M38" s="17">
        <v>342000</v>
      </c>
      <c r="N38" s="21">
        <f t="shared" si="7"/>
        <v>7916.6666666666661</v>
      </c>
      <c r="O38" s="9"/>
    </row>
  </sheetData>
  <autoFilter ref="A4:L38" xr:uid="{00000000-0009-0000-0000-000001000000}"/>
  <mergeCells count="6">
    <mergeCell ref="A1:H1"/>
    <mergeCell ref="A2:H2"/>
    <mergeCell ref="A5:L5"/>
    <mergeCell ref="A23:L23"/>
    <mergeCell ref="A32:L32"/>
    <mergeCell ref="A14:L14"/>
  </mergeCells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963E"/>
    <pageSetUpPr fitToPage="1"/>
  </sheetPr>
  <dimension ref="A1:J20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9" customWidth="1"/>
    <col min="4" max="4" width="18" customWidth="1"/>
    <col min="5" max="5" width="16" customWidth="1"/>
    <col min="6" max="6" width="14" customWidth="1"/>
    <col min="7" max="7" width="22" customWidth="1"/>
    <col min="8" max="8" width="24" customWidth="1"/>
    <col min="9" max="9" width="20" customWidth="1"/>
    <col min="10" max="10" width="16" customWidth="1"/>
  </cols>
  <sheetData>
    <row r="1" spans="1:10" ht="50" customHeight="1" x14ac:dyDescent="0.2">
      <c r="A1" s="28" t="s">
        <v>167</v>
      </c>
      <c r="B1" s="26"/>
      <c r="C1" s="26"/>
      <c r="D1" s="26"/>
      <c r="E1" s="26"/>
      <c r="F1" s="1"/>
      <c r="G1" s="1"/>
      <c r="H1" s="1"/>
    </row>
    <row r="2" spans="1:10" ht="5" customHeight="1" x14ac:dyDescent="0.2">
      <c r="A2" s="2"/>
      <c r="B2" s="2"/>
      <c r="C2" s="2"/>
      <c r="D2" s="2"/>
      <c r="E2" s="2"/>
      <c r="F2" s="2"/>
      <c r="G2" s="2"/>
      <c r="H2" s="2"/>
    </row>
    <row r="3" spans="1:10" ht="36" customHeight="1" x14ac:dyDescent="0.2">
      <c r="A3" s="3" t="s">
        <v>4</v>
      </c>
      <c r="B3" s="3" t="s">
        <v>5</v>
      </c>
      <c r="C3" s="3" t="s">
        <v>168</v>
      </c>
      <c r="D3" s="3" t="s">
        <v>8</v>
      </c>
      <c r="E3" s="3" t="s">
        <v>9</v>
      </c>
      <c r="F3" s="3" t="s">
        <v>12</v>
      </c>
      <c r="G3" s="3" t="s">
        <v>169</v>
      </c>
      <c r="H3" s="3" t="s">
        <v>170</v>
      </c>
      <c r="I3" s="14" t="s">
        <v>171</v>
      </c>
      <c r="J3" s="14" t="s">
        <v>172</v>
      </c>
    </row>
    <row r="4" spans="1:10" ht="24" customHeight="1" x14ac:dyDescent="0.2">
      <c r="A4" s="6" t="s">
        <v>21</v>
      </c>
      <c r="B4" s="6" t="s">
        <v>22</v>
      </c>
      <c r="C4" s="5">
        <v>7</v>
      </c>
      <c r="D4" s="5" t="s">
        <v>23</v>
      </c>
      <c r="E4" s="5" t="s">
        <v>173</v>
      </c>
      <c r="F4" s="6" t="s">
        <v>25</v>
      </c>
      <c r="G4" s="7"/>
      <c r="H4" s="7"/>
      <c r="I4" s="16">
        <v>410000</v>
      </c>
      <c r="J4" s="20">
        <v>880</v>
      </c>
    </row>
    <row r="5" spans="1:10" ht="24" customHeight="1" x14ac:dyDescent="0.2">
      <c r="A5" s="9" t="s">
        <v>41</v>
      </c>
      <c r="B5" s="9" t="s">
        <v>174</v>
      </c>
      <c r="C5" s="8">
        <v>8</v>
      </c>
      <c r="D5" s="8" t="s">
        <v>175</v>
      </c>
      <c r="E5" s="8" t="s">
        <v>176</v>
      </c>
      <c r="F5" s="9" t="s">
        <v>46</v>
      </c>
      <c r="G5" s="10"/>
      <c r="H5" s="10"/>
      <c r="I5" s="17">
        <v>483000</v>
      </c>
      <c r="J5" s="21">
        <v>4841</v>
      </c>
    </row>
    <row r="6" spans="1:10" ht="24" customHeight="1" x14ac:dyDescent="0.2">
      <c r="A6" s="6" t="s">
        <v>41</v>
      </c>
      <c r="B6" s="6" t="s">
        <v>177</v>
      </c>
      <c r="C6" s="5">
        <v>3</v>
      </c>
      <c r="D6" s="5" t="s">
        <v>178</v>
      </c>
      <c r="E6" s="5" t="s">
        <v>179</v>
      </c>
      <c r="F6" s="6" t="s">
        <v>46</v>
      </c>
      <c r="G6" s="7"/>
      <c r="H6" s="7"/>
      <c r="I6" s="16">
        <v>692000</v>
      </c>
      <c r="J6" s="20">
        <v>5150</v>
      </c>
    </row>
    <row r="7" spans="1:10" ht="24" customHeight="1" x14ac:dyDescent="0.2">
      <c r="A7" s="9" t="s">
        <v>41</v>
      </c>
      <c r="B7" s="9" t="s">
        <v>42</v>
      </c>
      <c r="C7" s="8">
        <v>1</v>
      </c>
      <c r="D7" s="8" t="s">
        <v>180</v>
      </c>
      <c r="E7" s="8" t="s">
        <v>179</v>
      </c>
      <c r="F7" s="9" t="s">
        <v>46</v>
      </c>
      <c r="G7" s="10"/>
      <c r="H7" s="10"/>
      <c r="I7" s="17">
        <v>676000</v>
      </c>
      <c r="J7" s="21">
        <v>5253</v>
      </c>
    </row>
    <row r="8" spans="1:10" ht="24" customHeight="1" x14ac:dyDescent="0.2">
      <c r="A8" s="6" t="s">
        <v>71</v>
      </c>
      <c r="B8" s="6" t="s">
        <v>181</v>
      </c>
      <c r="C8" s="5">
        <v>2</v>
      </c>
      <c r="D8" s="5" t="s">
        <v>182</v>
      </c>
      <c r="E8" s="5" t="s">
        <v>183</v>
      </c>
      <c r="F8" s="6" t="s">
        <v>75</v>
      </c>
      <c r="G8" s="7"/>
      <c r="H8" s="7"/>
      <c r="I8" s="16">
        <v>576000</v>
      </c>
      <c r="J8" s="20">
        <v>5168</v>
      </c>
    </row>
    <row r="9" spans="1:10" ht="24" customHeight="1" x14ac:dyDescent="0.2">
      <c r="A9" s="9" t="s">
        <v>71</v>
      </c>
      <c r="B9" s="9" t="s">
        <v>184</v>
      </c>
      <c r="C9" s="8">
        <v>6</v>
      </c>
      <c r="D9" s="8" t="s">
        <v>182</v>
      </c>
      <c r="E9" s="8" t="s">
        <v>185</v>
      </c>
      <c r="F9" s="9" t="s">
        <v>75</v>
      </c>
      <c r="G9" s="10"/>
      <c r="H9" s="10"/>
      <c r="I9" s="17">
        <v>557000</v>
      </c>
      <c r="J9" s="21">
        <v>4999</v>
      </c>
    </row>
    <row r="10" spans="1:10" ht="24" customHeight="1" x14ac:dyDescent="0.2">
      <c r="A10" s="6" t="s">
        <v>87</v>
      </c>
      <c r="B10" s="6" t="s">
        <v>186</v>
      </c>
      <c r="C10" s="5">
        <v>8</v>
      </c>
      <c r="D10" s="5" t="s">
        <v>187</v>
      </c>
      <c r="E10" s="5" t="s">
        <v>188</v>
      </c>
      <c r="F10" s="6" t="s">
        <v>46</v>
      </c>
      <c r="G10" s="7"/>
      <c r="H10" s="7"/>
      <c r="I10" s="16">
        <v>455000</v>
      </c>
      <c r="J10" s="20">
        <v>5047</v>
      </c>
    </row>
    <row r="11" spans="1:10" ht="24" customHeight="1" x14ac:dyDescent="0.2">
      <c r="A11" s="9" t="s">
        <v>87</v>
      </c>
      <c r="B11" s="9" t="s">
        <v>177</v>
      </c>
      <c r="C11" s="8">
        <v>4</v>
      </c>
      <c r="D11" s="8" t="s">
        <v>189</v>
      </c>
      <c r="E11" s="8" t="s">
        <v>190</v>
      </c>
      <c r="F11" s="9" t="s">
        <v>46</v>
      </c>
      <c r="G11" s="10"/>
      <c r="H11" s="10"/>
      <c r="I11" s="17">
        <v>691000</v>
      </c>
      <c r="J11" s="21">
        <v>5137</v>
      </c>
    </row>
    <row r="12" spans="1:10" ht="24" customHeight="1" x14ac:dyDescent="0.2">
      <c r="A12" s="6" t="s">
        <v>104</v>
      </c>
      <c r="B12" s="6" t="s">
        <v>191</v>
      </c>
      <c r="C12" s="5">
        <v>2</v>
      </c>
      <c r="D12" s="5" t="s">
        <v>192</v>
      </c>
      <c r="E12" s="5" t="s">
        <v>193</v>
      </c>
      <c r="F12" s="6" t="s">
        <v>75</v>
      </c>
      <c r="G12" s="7"/>
      <c r="H12" s="7"/>
      <c r="I12" s="16">
        <v>614000</v>
      </c>
      <c r="J12" s="20">
        <v>5101</v>
      </c>
    </row>
    <row r="13" spans="1:10" ht="24" customHeight="1" x14ac:dyDescent="0.2">
      <c r="A13" s="9" t="s">
        <v>104</v>
      </c>
      <c r="B13" s="9" t="s">
        <v>194</v>
      </c>
      <c r="C13" s="8">
        <v>2</v>
      </c>
      <c r="D13" s="8" t="s">
        <v>195</v>
      </c>
      <c r="E13" s="8" t="s">
        <v>193</v>
      </c>
      <c r="F13" s="9" t="s">
        <v>75</v>
      </c>
      <c r="G13" s="10"/>
      <c r="H13" s="10"/>
      <c r="I13" s="17">
        <v>605000</v>
      </c>
      <c r="J13" s="21">
        <v>5050</v>
      </c>
    </row>
    <row r="14" spans="1:10" ht="24" customHeight="1" x14ac:dyDescent="0.2">
      <c r="A14" s="6" t="s">
        <v>196</v>
      </c>
      <c r="B14" s="6" t="s">
        <v>197</v>
      </c>
      <c r="C14" s="5">
        <v>8</v>
      </c>
      <c r="D14" s="5" t="s">
        <v>198</v>
      </c>
      <c r="E14" s="5" t="s">
        <v>23</v>
      </c>
      <c r="F14" s="6" t="s">
        <v>199</v>
      </c>
      <c r="G14" s="7"/>
      <c r="H14" s="7"/>
      <c r="I14" s="16">
        <v>325000</v>
      </c>
      <c r="J14" s="20">
        <v>7280</v>
      </c>
    </row>
    <row r="15" spans="1:10" ht="24" customHeight="1" x14ac:dyDescent="0.2">
      <c r="A15" s="9" t="s">
        <v>196</v>
      </c>
      <c r="B15" s="9" t="s">
        <v>200</v>
      </c>
      <c r="C15" s="8">
        <v>4</v>
      </c>
      <c r="D15" s="8" t="s">
        <v>201</v>
      </c>
      <c r="E15" s="8" t="s">
        <v>23</v>
      </c>
      <c r="F15" s="9" t="s">
        <v>199</v>
      </c>
      <c r="G15" s="10"/>
      <c r="H15" s="10"/>
      <c r="I15" s="17">
        <v>547000</v>
      </c>
      <c r="J15" s="21">
        <v>7091</v>
      </c>
    </row>
    <row r="16" spans="1:10" ht="24" customHeight="1" x14ac:dyDescent="0.2">
      <c r="A16" s="6" t="s">
        <v>196</v>
      </c>
      <c r="B16" s="6" t="s">
        <v>202</v>
      </c>
      <c r="C16" s="5">
        <v>2</v>
      </c>
      <c r="D16" s="5" t="s">
        <v>203</v>
      </c>
      <c r="E16" s="5" t="s">
        <v>23</v>
      </c>
      <c r="F16" s="6" t="s">
        <v>199</v>
      </c>
      <c r="G16" s="7"/>
      <c r="H16" s="7"/>
      <c r="I16" s="16">
        <v>819000</v>
      </c>
      <c r="J16" s="20">
        <v>8282</v>
      </c>
    </row>
    <row r="17" spans="1:10" ht="24" customHeight="1" x14ac:dyDescent="0.2">
      <c r="A17" s="9" t="s">
        <v>196</v>
      </c>
      <c r="B17" s="9" t="s">
        <v>204</v>
      </c>
      <c r="C17" s="8">
        <v>8</v>
      </c>
      <c r="D17" s="8" t="s">
        <v>205</v>
      </c>
      <c r="E17" s="8" t="s">
        <v>23</v>
      </c>
      <c r="F17" s="9" t="s">
        <v>199</v>
      </c>
      <c r="G17" s="10"/>
      <c r="H17" s="10"/>
      <c r="I17" s="17">
        <v>528000</v>
      </c>
      <c r="J17" s="21">
        <v>7068</v>
      </c>
    </row>
    <row r="18" spans="1:10" ht="24" customHeight="1" x14ac:dyDescent="0.2">
      <c r="A18" s="6" t="s">
        <v>196</v>
      </c>
      <c r="B18" s="6" t="s">
        <v>206</v>
      </c>
      <c r="C18" s="5">
        <v>6</v>
      </c>
      <c r="D18" s="5" t="s">
        <v>207</v>
      </c>
      <c r="E18" s="5" t="s">
        <v>23</v>
      </c>
      <c r="F18" s="6" t="s">
        <v>199</v>
      </c>
      <c r="G18" s="7"/>
      <c r="H18" s="7"/>
      <c r="I18" s="16">
        <v>621000</v>
      </c>
      <c r="J18" s="20">
        <v>7032</v>
      </c>
    </row>
    <row r="19" spans="1:10" ht="6" customHeight="1" x14ac:dyDescent="0.2">
      <c r="A19" s="1"/>
      <c r="B19" s="1"/>
      <c r="C19" s="1"/>
      <c r="D19" s="1"/>
      <c r="E19" s="1"/>
      <c r="F19" s="1"/>
      <c r="G19" s="1"/>
      <c r="H19" s="1"/>
      <c r="I19" s="18"/>
      <c r="J19" s="18"/>
    </row>
    <row r="20" spans="1:10" x14ac:dyDescent="0.2">
      <c r="A20" s="13" t="s">
        <v>208</v>
      </c>
      <c r="B20" s="13"/>
      <c r="C20" s="13">
        <f>SUM(C4:C18)</f>
        <v>71</v>
      </c>
      <c r="D20" s="13"/>
      <c r="E20" s="13"/>
      <c r="F20" s="13"/>
      <c r="G20" s="13"/>
      <c r="H20" s="13"/>
      <c r="I20" s="19"/>
      <c r="J20" s="19"/>
    </row>
  </sheetData>
  <mergeCells count="1">
    <mergeCell ref="A1:E1"/>
  </mergeCells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Haus 3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Relana Heick - Teigeler &amp; Partner Immobilien</cp:lastModifiedBy>
  <dcterms:created xsi:type="dcterms:W3CDTF">2026-04-07T12:23:27Z</dcterms:created>
  <dcterms:modified xsi:type="dcterms:W3CDTF">2026-04-08T13:15:32Z</dcterms:modified>
</cp:coreProperties>
</file>